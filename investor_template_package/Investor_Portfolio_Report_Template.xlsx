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Portfolio" sheetId="2" state="visible" r:id="rId4"/>
    <sheet name="💡 Buy Suggestions" sheetId="3" state="visible" r:id="rId5"/>
    <sheet name="🔁 Buyback Opps" sheetId="4" state="visible" r:id="rId6"/>
    <sheet name="🎯 GTT Plan" sheetId="5" state="visible" r:id="rId7"/>
    <sheet name="🔄 Swing Trading" sheetId="6" state="visible" r:id="rId8"/>
    <sheet name="📈 Charts &amp; Analysis" sheetId="7" state="visible" r:id="rId9"/>
    <sheet name="📝 Watchlist &amp; 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<sst xmlns="http://schemas.openxmlformats.org/spreadsheetml/2006/main" count="738" uniqueCount="525">
  <si>
    <t xml:space="preserve">📈  INVESTOR PORTFOLIO COMMAND CENTER</t>
  </si>
  <si>
    <t xml:space="preserve">Report Date: 18 April 2026   |   Update your data in each sheet tab below</t>
  </si>
  <si>
    <t xml:space="preserve">KEY PORTFOLIO METRICS</t>
  </si>
  <si>
    <t xml:space="preserve">💰 Total Portfolio Value</t>
  </si>
  <si>
    <t xml:space="preserve">📈 Total Invested</t>
  </si>
  <si>
    <t xml:space="preserve">💹 Overall P&amp;L</t>
  </si>
  <si>
    <t xml:space="preserve">📊 Overall P&amp;L %</t>
  </si>
  <si>
    <t xml:space="preserve">🎯 GTT Orders Active</t>
  </si>
  <si>
    <t xml:space="preserve">🔄 Swing Trades Open</t>
  </si>
  <si>
    <t xml:space="preserve">📋 PORTFOLIO SNAPSHOT</t>
  </si>
  <si>
    <t xml:space="preserve">💡 TOP BUY SUGGESTIONS TODAY</t>
  </si>
  <si>
    <t xml:space="preserve">Stock</t>
  </si>
  <si>
    <t xml:space="preserve">Qty</t>
  </si>
  <si>
    <t xml:space="preserve">Avg Cost</t>
  </si>
  <si>
    <t xml:space="preserve">CMP</t>
  </si>
  <si>
    <t xml:space="preserve">Current Value</t>
  </si>
  <si>
    <t xml:space="preserve">P&amp;L</t>
  </si>
  <si>
    <t xml:space="preserve">Rating</t>
  </si>
  <si>
    <t xml:space="preserve">Target</t>
  </si>
  <si>
    <t xml:space="preserve">Upside%</t>
  </si>
  <si>
    <t xml:space="preserve">RELIANCE</t>
  </si>
  <si>
    <t xml:space="preserve">50</t>
  </si>
  <si>
    <t xml:space="preserve">2400.00</t>
  </si>
  <si>
    <t xml:space="preserve">2520.00</t>
  </si>
  <si>
    <t xml:space="preserve">HCLTECH</t>
  </si>
  <si>
    <t xml:space="preserve">⭐⭐⭐⭐⭐</t>
  </si>
  <si>
    <t xml:space="preserve">1400</t>
  </si>
  <si>
    <t xml:space="preserve">18%</t>
  </si>
  <si>
    <t xml:space="preserve">INFY</t>
  </si>
  <si>
    <t xml:space="preserve">100</t>
  </si>
  <si>
    <t xml:space="preserve">1500.00</t>
  </si>
  <si>
    <t xml:space="preserve">1620.00</t>
  </si>
  <si>
    <t xml:space="preserve">SUNPHARMA</t>
  </si>
  <si>
    <t xml:space="preserve">⭐⭐⭐⭐</t>
  </si>
  <si>
    <t xml:space="preserve">1050</t>
  </si>
  <si>
    <t xml:space="preserve">12%</t>
  </si>
  <si>
    <t xml:space="preserve">TCS</t>
  </si>
  <si>
    <t xml:space="preserve">25</t>
  </si>
  <si>
    <t xml:space="preserve">3400.00</t>
  </si>
  <si>
    <t xml:space="preserve">3600.00</t>
  </si>
  <si>
    <t xml:space="preserve">POWERGRID</t>
  </si>
  <si>
    <t xml:space="preserve">280</t>
  </si>
  <si>
    <t xml:space="preserve">15%</t>
  </si>
  <si>
    <t xml:space="preserve">HDFCBANK</t>
  </si>
  <si>
    <t xml:space="preserve">75</t>
  </si>
  <si>
    <t xml:space="preserve">1650.00</t>
  </si>
  <si>
    <t xml:space="preserve">1580.00</t>
  </si>
  <si>
    <t xml:space="preserve">COALINDIA</t>
  </si>
  <si>
    <t xml:space="preserve">⭐⭐⭐</t>
  </si>
  <si>
    <t xml:space="preserve">270</t>
  </si>
  <si>
    <t xml:space="preserve">10%</t>
  </si>
  <si>
    <t xml:space="preserve">WIPRO</t>
  </si>
  <si>
    <t xml:space="preserve">200</t>
  </si>
  <si>
    <t xml:space="preserve">450.00</t>
  </si>
  <si>
    <t xml:space="preserve">430.00</t>
  </si>
  <si>
    <t xml:space="preserve">LT</t>
  </si>
  <si>
    <t xml:space="preserve">3800</t>
  </si>
  <si>
    <t xml:space="preserve">20%</t>
  </si>
  <si>
    <t xml:space="preserve">🔁 BUYBACK OPPORTUNITIES</t>
  </si>
  <si>
    <t xml:space="preserve">🎯 ACTIVE GTT ORDERS</t>
  </si>
  <si>
    <t xml:space="preserve">Company</t>
  </si>
  <si>
    <t xml:space="preserve">Buyback Price</t>
  </si>
  <si>
    <t xml:space="preserve">Premium%</t>
  </si>
  <si>
    <t xml:space="preserve">Status</t>
  </si>
  <si>
    <t xml:space="preserve">Trigger</t>
  </si>
  <si>
    <t xml:space="preserve">Type</t>
  </si>
  <si>
    <t xml:space="preserve">₹1,800</t>
  </si>
  <si>
    <t xml:space="preserve">₹1,620</t>
  </si>
  <si>
    <t xml:space="preserve">11.1%</t>
  </si>
  <si>
    <t xml:space="preserve">🟢 Open</t>
  </si>
  <si>
    <t xml:space="preserve">2300</t>
  </si>
  <si>
    <t xml:space="preserve">Buy on dip</t>
  </si>
  <si>
    <t xml:space="preserve">🟢 Active</t>
  </si>
  <si>
    <t xml:space="preserve">₹4,200</t>
  </si>
  <si>
    <t xml:space="preserve">₹3,600</t>
  </si>
  <si>
    <t xml:space="preserve">16.7%</t>
  </si>
  <si>
    <t xml:space="preserve">1550</t>
  </si>
  <si>
    <t xml:space="preserve">Stop Loss</t>
  </si>
  <si>
    <t xml:space="preserve">🟡 Pending</t>
  </si>
  <si>
    <t xml:space="preserve">HCL TECH</t>
  </si>
  <si>
    <t xml:space="preserve">₹1,500</t>
  </si>
  <si>
    <t xml:space="preserve">₹1,185</t>
  </si>
  <si>
    <t xml:space="preserve">26.6%</t>
  </si>
  <si>
    <t xml:space="preserve">🟡 Expected</t>
  </si>
  <si>
    <t xml:space="preserve">1500</t>
  </si>
  <si>
    <t xml:space="preserve">Buy Target</t>
  </si>
  <si>
    <t xml:space="preserve">₹500</t>
  </si>
  <si>
    <t xml:space="preserve">₹430</t>
  </si>
  <si>
    <t xml:space="preserve">16.3%</t>
  </si>
  <si>
    <t xml:space="preserve">3300</t>
  </si>
  <si>
    <t xml:space="preserve">Profit Book</t>
  </si>
  <si>
    <t xml:space="preserve">🔵 Set</t>
  </si>
  <si>
    <t xml:space="preserve">🔄 SWING TRADE WATCHLIST</t>
  </si>
  <si>
    <t xml:space="preserve">Setup</t>
  </si>
  <si>
    <t xml:space="preserve">Entry Zone</t>
  </si>
  <si>
    <t xml:space="preserve">Reward:Risk</t>
  </si>
  <si>
    <t xml:space="preserve">Days</t>
  </si>
  <si>
    <t xml:space="preserve">Confidence</t>
  </si>
  <si>
    <t xml:space="preserve">Action</t>
  </si>
  <si>
    <t xml:space="preserve">Buyback+Dip</t>
  </si>
  <si>
    <t xml:space="preserve">1600-1650</t>
  </si>
  <si>
    <t xml:space="preserve">1780</t>
  </si>
  <si>
    <t xml:space="preserve">3.6:1</t>
  </si>
  <si>
    <t xml:space="preserve">5-8</t>
  </si>
  <si>
    <t xml:space="preserve">🔥 High</t>
  </si>
  <si>
    <t xml:space="preserve">BUY</t>
  </si>
  <si>
    <t xml:space="preserve">Buyback Rally</t>
  </si>
  <si>
    <t xml:space="preserve">425-435</t>
  </si>
  <si>
    <t xml:space="preserve">490</t>
  </si>
  <si>
    <t xml:space="preserve">410</t>
  </si>
  <si>
    <t xml:space="preserve">2.8:1</t>
  </si>
  <si>
    <t xml:space="preserve">7-10</t>
  </si>
  <si>
    <t xml:space="preserve">Value+Buyback</t>
  </si>
  <si>
    <t xml:space="preserve">3550-3650</t>
  </si>
  <si>
    <t xml:space="preserve">3900</t>
  </si>
  <si>
    <t xml:space="preserve">3450</t>
  </si>
  <si>
    <t xml:space="preserve">2.5:1</t>
  </si>
  <si>
    <t xml:space="preserve">10-15</t>
  </si>
  <si>
    <t xml:space="preserve">✅ Med</t>
  </si>
  <si>
    <t xml:space="preserve">WATCH</t>
  </si>
  <si>
    <t xml:space="preserve">Pre-Buyback</t>
  </si>
  <si>
    <t xml:space="preserve">1150-1200</t>
  </si>
  <si>
    <t xml:space="preserve">1380</t>
  </si>
  <si>
    <t xml:space="preserve">1100</t>
  </si>
  <si>
    <t xml:space="preserve">3.2:1</t>
  </si>
  <si>
    <t xml:space="preserve">8-12</t>
  </si>
  <si>
    <t xml:space="preserve">📋  MY INVESTMENT PORTFOLIO</t>
  </si>
  <si>
    <t xml:space="preserve">Stock / Company</t>
  </si>
  <si>
    <t xml:space="preserve">Sector</t>
  </si>
  <si>
    <t xml:space="preserve">Exchange</t>
  </si>
  <si>
    <t xml:space="preserve">Buy Date</t>
  </si>
  <si>
    <t xml:space="preserve">Avg Buy Price (₹)</t>
  </si>
  <si>
    <t xml:space="preserve">CMP (₹) [INPUT]</t>
  </si>
  <si>
    <t xml:space="preserve">Total Invested (₹)</t>
  </si>
  <si>
    <t xml:space="preserve">Current Value (₹)</t>
  </si>
  <si>
    <t xml:space="preserve">P&amp;L (₹)</t>
  </si>
  <si>
    <t xml:space="preserve">P&amp;L %</t>
  </si>
  <si>
    <t xml:space="preserve">Weight %</t>
  </si>
  <si>
    <t xml:space="preserve">52W High</t>
  </si>
  <si>
    <t xml:space="preserve">52W Low</t>
  </si>
  <si>
    <t xml:space="preserve">Energy</t>
  </si>
  <si>
    <t xml:space="preserve">NSE</t>
  </si>
  <si>
    <t xml:space="preserve">01-Jan-2024</t>
  </si>
  <si>
    <t xml:space="preserve">IT</t>
  </si>
  <si>
    <t xml:space="preserve">15-Feb-2024</t>
  </si>
  <si>
    <t xml:space="preserve">10-Mar-2024</t>
  </si>
  <si>
    <t xml:space="preserve">Banking</t>
  </si>
  <si>
    <t xml:space="preserve">05-Apr-2024</t>
  </si>
  <si>
    <t xml:space="preserve">20-May-2024</t>
  </si>
  <si>
    <t xml:space="preserve">Pharma</t>
  </si>
  <si>
    <t xml:space="preserve">01-Jun-2024</t>
  </si>
  <si>
    <t xml:space="preserve">15-Jul-2024</t>
  </si>
  <si>
    <t xml:space="preserve">Utilities</t>
  </si>
  <si>
    <t xml:space="preserve">01-Aug-2024</t>
  </si>
  <si>
    <t xml:space="preserve">Mining</t>
  </si>
  <si>
    <t xml:space="preserve">10-Sep-2024</t>
  </si>
  <si>
    <t xml:space="preserve">Infra</t>
  </si>
  <si>
    <t xml:space="preserve">15-Oct-2024</t>
  </si>
  <si>
    <t xml:space="preserve">📊 TOTAL</t>
  </si>
  <si>
    <t xml:space="preserve">📝 NOTE: Blue cells = User Input.  Yellow highlighted cell = CMP (enter today's price).  All calculations auto-update.</t>
  </si>
  <si>
    <t xml:space="preserve">💡  BUY SUGGESTIONS — FUNDAMENTAL &amp; TECHNICAL ANALYSIS</t>
  </si>
  <si>
    <t xml:space="preserve">⭐⭐⭐⭐⭐ = Strong Buy  |  ⭐⭐⭐⭐ = Buy  |  ⭐⭐⭐ = Accumulate  |  🔴 = Avoid/Wait</t>
  </si>
  <si>
    <t xml:space="preserve">CMP (₹)</t>
  </si>
  <si>
    <t xml:space="preserve">Buy Zone</t>
  </si>
  <si>
    <t xml:space="preserve">Target 1</t>
  </si>
  <si>
    <t xml:space="preserve">Target 2</t>
  </si>
  <si>
    <t xml:space="preserve">Upside %</t>
  </si>
  <si>
    <t xml:space="preserve">P/E Ratio</t>
  </si>
  <si>
    <t xml:space="preserve">EPS Growth %</t>
  </si>
  <si>
    <t xml:space="preserve">D/E Ratio</t>
  </si>
  <si>
    <t xml:space="preserve">Key Reason</t>
  </si>
  <si>
    <t xml:space="preserve">1185</t>
  </si>
  <si>
    <t xml:space="preserve">1080</t>
  </si>
  <si>
    <t xml:space="preserve">18-26%</t>
  </si>
  <si>
    <t xml:space="preserve">22</t>
  </si>
  <si>
    <t xml:space="preserve">0.1</t>
  </si>
  <si>
    <t xml:space="preserve">Buyback + Strong Q Results + IT Demand</t>
  </si>
  <si>
    <t xml:space="preserve">925</t>
  </si>
  <si>
    <t xml:space="preserve">900-950</t>
  </si>
  <si>
    <t xml:space="preserve">1200</t>
  </si>
  <si>
    <t xml:space="preserve">850</t>
  </si>
  <si>
    <t xml:space="preserve">14-30%</t>
  </si>
  <si>
    <t xml:space="preserve">28</t>
  </si>
  <si>
    <t xml:space="preserve">0.2</t>
  </si>
  <si>
    <t xml:space="preserve">US Generic Recovery + R&amp;D Pipeline</t>
  </si>
  <si>
    <t xml:space="preserve">240</t>
  </si>
  <si>
    <t xml:space="preserve">235-245</t>
  </si>
  <si>
    <t xml:space="preserve">310</t>
  </si>
  <si>
    <t xml:space="preserve">215</t>
  </si>
  <si>
    <t xml:space="preserve">17-29%</t>
  </si>
  <si>
    <t xml:space="preserve">18</t>
  </si>
  <si>
    <t xml:space="preserve">1.8</t>
  </si>
  <si>
    <t xml:space="preserve">Govt Capex + Dividend Yield 5.2%</t>
  </si>
  <si>
    <t xml:space="preserve">245</t>
  </si>
  <si>
    <t xml:space="preserve">238-250</t>
  </si>
  <si>
    <t xml:space="preserve">295</t>
  </si>
  <si>
    <t xml:space="preserve">220</t>
  </si>
  <si>
    <t xml:space="preserve">10-20%</t>
  </si>
  <si>
    <t xml:space="preserve">7</t>
  </si>
  <si>
    <t xml:space="preserve">8%</t>
  </si>
  <si>
    <t xml:space="preserve">0.0</t>
  </si>
  <si>
    <t xml:space="preserve">Near-Zero Debt + 8% Dividend Yield</t>
  </si>
  <si>
    <t xml:space="preserve">3200</t>
  </si>
  <si>
    <t xml:space="preserve">3100-3300</t>
  </si>
  <si>
    <t xml:space="preserve">4200</t>
  </si>
  <si>
    <t xml:space="preserve">2900</t>
  </si>
  <si>
    <t xml:space="preserve">19-31%</t>
  </si>
  <si>
    <t xml:space="preserve">32</t>
  </si>
  <si>
    <t xml:space="preserve">1.5</t>
  </si>
  <si>
    <t xml:space="preserve">Order Book +25% YoY + Govt Projects</t>
  </si>
  <si>
    <t xml:space="preserve">2520</t>
  </si>
  <si>
    <t xml:space="preserve">2400-2550</t>
  </si>
  <si>
    <t xml:space="preserve">2250</t>
  </si>
  <si>
    <t xml:space="preserve">15-27%</t>
  </si>
  <si>
    <t xml:space="preserve">26</t>
  </si>
  <si>
    <t xml:space="preserve">14%</t>
  </si>
  <si>
    <t xml:space="preserve">0.4</t>
  </si>
  <si>
    <t xml:space="preserve">Jio + Retail + O2C Diversification</t>
  </si>
  <si>
    <t xml:space="preserve">AXISBANK</t>
  </si>
  <si>
    <t xml:space="preserve">1020-1070</t>
  </si>
  <si>
    <t xml:space="preserve">1220</t>
  </si>
  <si>
    <t xml:space="preserve">1350</t>
  </si>
  <si>
    <t xml:space="preserve">970</t>
  </si>
  <si>
    <t xml:space="preserve">16-29%</t>
  </si>
  <si>
    <t xml:space="preserve">14</t>
  </si>
  <si>
    <t xml:space="preserve">22%</t>
  </si>
  <si>
    <t xml:space="preserve">0.8</t>
  </si>
  <si>
    <t xml:space="preserve">NIM Expansion + Low NPA Trend</t>
  </si>
  <si>
    <t xml:space="preserve">BAJFINANCE</t>
  </si>
  <si>
    <t xml:space="preserve">NBFC</t>
  </si>
  <si>
    <t xml:space="preserve">6800</t>
  </si>
  <si>
    <t xml:space="preserve">6600-7000</t>
  </si>
  <si>
    <t xml:space="preserve">7800</t>
  </si>
  <si>
    <t xml:space="preserve">8500</t>
  </si>
  <si>
    <t xml:space="preserve">6200</t>
  </si>
  <si>
    <t xml:space="preserve">15-25%</t>
  </si>
  <si>
    <t xml:space="preserve">30</t>
  </si>
  <si>
    <t xml:space="preserve">28%</t>
  </si>
  <si>
    <t xml:space="preserve">3.2</t>
  </si>
  <si>
    <t xml:space="preserve">AUM Growth + New Products</t>
  </si>
  <si>
    <t xml:space="preserve">TITAN</t>
  </si>
  <si>
    <t xml:space="preserve">Consumer</t>
  </si>
  <si>
    <t xml:space="preserve">3700</t>
  </si>
  <si>
    <t xml:space="preserve">4000</t>
  </si>
  <si>
    <t xml:space="preserve">2950</t>
  </si>
  <si>
    <t xml:space="preserve">16-25%</t>
  </si>
  <si>
    <t xml:space="preserve">72</t>
  </si>
  <si>
    <t xml:space="preserve">Jewellery + Watches Market Leader</t>
  </si>
  <si>
    <t xml:space="preserve">NTPC</t>
  </si>
  <si>
    <t xml:space="preserve">350</t>
  </si>
  <si>
    <t xml:space="preserve">340-360</t>
  </si>
  <si>
    <t xml:space="preserve">450</t>
  </si>
  <si>
    <t xml:space="preserve">320</t>
  </si>
  <si>
    <t xml:space="preserve">15</t>
  </si>
  <si>
    <t xml:space="preserve">2.0</t>
  </si>
  <si>
    <t xml:space="preserve">Green Energy Expansion + Dividend</t>
  </si>
  <si>
    <t xml:space="preserve">KEY ANALYSIS POINTS — WHAT TO CHECK BEFORE BUYING</t>
  </si>
  <si>
    <t xml:space="preserve">1️⃣ Fundamentals</t>
  </si>
  <si>
    <t xml:space="preserve">P/E &lt; Sector Average | EPS Growth &gt; 15% | Debt/Equity &lt; 1 | ROE &gt; 15% | Strong Cash Flow</t>
  </si>
  <si>
    <t xml:space="preserve">2️⃣ Technicals</t>
  </si>
  <si>
    <t xml:space="preserve">Price above 200 DMA | RSI 40–60 (not overbought) | MACD Crossover | Volume spike on buy</t>
  </si>
  <si>
    <t xml:space="preserve">3️⃣ Valuation</t>
  </si>
  <si>
    <t xml:space="preserve">Check P/B Ratio vs Peers | Dividend Yield &gt; 2% is bonus | Compare EV/EBITDA</t>
  </si>
  <si>
    <t xml:space="preserve">4️⃣ Catalysts</t>
  </si>
  <si>
    <t xml:space="preserve">Upcoming earnings | Buyback announcement | New product/order | Sector tailwind</t>
  </si>
  <si>
    <t xml:space="preserve">5️⃣ Risk Check</t>
  </si>
  <si>
    <t xml:space="preserve">Promoter Pledge &lt; 10% | No major litigation | No auditor concern | FII/DII trend positive</t>
  </si>
  <si>
    <t xml:space="preserve">6️⃣ Entry Strategy</t>
  </si>
  <si>
    <t xml:space="preserve">Buy in 2–3 tranches | First buy at lower zone | Average on 5% dip | Set GTT immediately</t>
  </si>
  <si>
    <t xml:space="preserve">7️⃣ Exit Plan</t>
  </si>
  <si>
    <t xml:space="preserve">Book 50% at Target 1 | Let rest run to Target 2 | Trail stop loss | Never average loss</t>
  </si>
  <si>
    <t xml:space="preserve">🔁  SHARE BUYBACK OPPORTUNITIES — DEEP VALUE TRACKER</t>
  </si>
  <si>
    <t xml:space="preserve">💡 WHAT IS A BUYBACK? Company repurchases its own shares → reduces supply → EPS increases → Share price rises</t>
  </si>
  <si>
    <t xml:space="preserve">Buyback Price (₹)</t>
  </si>
  <si>
    <t xml:space="preserve">Premium to CMP%</t>
  </si>
  <si>
    <t xml:space="preserve">Buyback Size (₹Cr)</t>
  </si>
  <si>
    <t xml:space="preserve">Acceptance Ratio%</t>
  </si>
  <si>
    <t xml:space="preserve">Record Date</t>
  </si>
  <si>
    <t xml:space="preserve">Expected Gain%</t>
  </si>
  <si>
    <t xml:space="preserve">Action Needed</t>
  </si>
  <si>
    <t xml:space="preserve">INFOSYS</t>
  </si>
  <si>
    <t xml:space="preserve">9300</t>
  </si>
  <si>
    <t xml:space="preserve">25%</t>
  </si>
  <si>
    <t xml:space="preserve">15-Jun-2025</t>
  </si>
  <si>
    <t xml:space="preserve">🟢 OPEN</t>
  </si>
  <si>
    <t xml:space="preserve">TENDER NOW</t>
  </si>
  <si>
    <t xml:space="preserve">17000</t>
  </si>
  <si>
    <t xml:space="preserve">30-Jun-2025</t>
  </si>
  <si>
    <t xml:space="preserve">2500</t>
  </si>
  <si>
    <t xml:space="preserve">30%</t>
  </si>
  <si>
    <t xml:space="preserve">15-Jul-2025</t>
  </si>
  <si>
    <t xml:space="preserve">4500</t>
  </si>
  <si>
    <t xml:space="preserve">31-Aug-2025</t>
  </si>
  <si>
    <t xml:space="preserve">🟡 EXPECTED</t>
  </si>
  <si>
    <t xml:space="preserve">ACCUMULATE</t>
  </si>
  <si>
    <t xml:space="preserve">MPHASIS</t>
  </si>
  <si>
    <t xml:space="preserve">35%</t>
  </si>
  <si>
    <t xml:space="preserve">30-Sep-2025</t>
  </si>
  <si>
    <t xml:space="preserve">📚 BUYBACK ARBITRAGE — HOW IT WORKS (Step by Step)</t>
  </si>
  <si>
    <t xml:space="preserve">STEP 1: Identify</t>
  </si>
  <si>
    <t xml:space="preserve">Company announces buyback at PREMIUM to current market price (CMP). Example: CMP=₹1620, Buyback=₹1800</t>
  </si>
  <si>
    <t xml:space="preserve">STEP 2: Calculate</t>
  </si>
  <si>
    <t xml:space="preserve">Premium % = (Buyback Price - CMP)/CMP × 100. Here: (1800-1620)/1620 × 100 = 11.1% above market</t>
  </si>
  <si>
    <t xml:space="preserve">STEP 3: Buy Shares</t>
  </si>
  <si>
    <t xml:space="preserve">Buy shares in open market BEFORE record date. More shares = more tender opportunity</t>
  </si>
  <si>
    <t xml:space="preserve">STEP 4: Tender Shares</t>
  </si>
  <si>
    <t xml:space="preserve">Submit shares in buyback tender offer via your broker before deadline</t>
  </si>
  <si>
    <t xml:space="preserve">STEP 5: Acceptance</t>
  </si>
  <si>
    <t xml:space="preserve">Company accepts based on ratio. E.g., 25% ratio = 25 shares accepted out of 100 tendered</t>
  </si>
  <si>
    <t xml:space="preserve">STEP 6: Profit</t>
  </si>
  <si>
    <t xml:space="preserve">Accepted shares sold at buyback price (₹1800) vs cost (₹1620) = ₹180/share profit</t>
  </si>
  <si>
    <t xml:space="preserve">STEP 7: Unaccepted</t>
  </si>
  <si>
    <t xml:space="preserve">Remaining shares stay in your demat. Continue holding or sell in market</t>
  </si>
  <si>
    <t xml:space="preserve">⚠️ Risk Note</t>
  </si>
  <si>
    <t xml:space="preserve">Acceptance ratio may be low. Price may fall post-buyback. Tax: 20% STCG if held &lt;12 months</t>
  </si>
  <si>
    <t xml:space="preserve">🎯  GTT (GOOD TILL TRIGGERED) ORDER PLANNER</t>
  </si>
  <si>
    <t xml:space="preserve">💡 GTT = Set it and Forget it! Triggers automatically when price hits your level. Available on Zerodha Kite, Groww, Upstox, Angel One</t>
  </si>
  <si>
    <t xml:space="preserve">🟢 GTT BUY</t>
  </si>
  <si>
    <t xml:space="preserve">🔴 GTT SELL / STOP</t>
  </si>
  <si>
    <t xml:space="preserve">🔵 GTT PROFIT BOOK</t>
  </si>
  <si>
    <t xml:space="preserve">Triggers a BUY when price FALLS to your target entry. Perfect for buying dips automatically.</t>
  </si>
  <si>
    <t xml:space="preserve">Triggers a SELL when price FALLS below stop loss. Protects capital automatically.</t>
  </si>
  <si>
    <t xml:space="preserve">Triggers a SELL when price RISES to target. Lock in profits without monitoring.</t>
  </si>
  <si>
    <t xml:space="preserve">GTT Type</t>
  </si>
  <si>
    <t xml:space="preserve">Trigger Price (₹)</t>
  </si>
  <si>
    <t xml:space="preserve">Order Value (₹)</t>
  </si>
  <si>
    <t xml:space="preserve">R:R Ratio</t>
  </si>
  <si>
    <t xml:space="preserve">Broker</t>
  </si>
  <si>
    <t xml:space="preserve">Notes / Status</t>
  </si>
  <si>
    <t xml:space="preserve">Zerodha Kite</t>
  </si>
  <si>
    <t xml:space="preserve">Buy on 8.7% dip — strong support</t>
  </si>
  <si>
    <t xml:space="preserve">🔴 GTT STOP LOSS</t>
  </si>
  <si>
    <t xml:space="preserve">Groww</t>
  </si>
  <si>
    <t xml:space="preserve">Protect 5.5% downside</t>
  </si>
  <si>
    <t xml:space="preserve">Book at ₹3900 resistance</t>
  </si>
  <si>
    <t xml:space="preserve">Upstox</t>
  </si>
  <si>
    <t xml:space="preserve">Buy at 52W support zone</t>
  </si>
  <si>
    <t xml:space="preserve">Angel One</t>
  </si>
  <si>
    <t xml:space="preserve">Pre-buyback accumulation</t>
  </si>
  <si>
    <t xml:space="preserve">Buyback expected — buy dip</t>
  </si>
  <si>
    <t xml:space="preserve">High dividend yield stock</t>
  </si>
  <si>
    <t xml:space="preserve">Exit at target — 13.5% profit</t>
  </si>
  <si>
    <t xml:space="preserve">📋 GTT RULES &amp; BEST PRACTICES</t>
  </si>
  <si>
    <t xml:space="preserve">✅ Always set GTT immediately after buying — don't rely on memory to set stop loss</t>
  </si>
  <si>
    <t xml:space="preserve">✅ For every ₹1 risk (stop loss), ensure at least ₹2 reward (target) — minimum 1:2 R:R ratio</t>
  </si>
  <si>
    <t xml:space="preserve">✅ GTT Buy Orders: Place at strong support levels, 200 DMA, or buyback accumulation zones</t>
  </si>
  <si>
    <t xml:space="preserve">✅ GTT Sell Orders: Place stop at recent swing low — never more than 7-8% below entry</t>
  </si>
  <si>
    <t xml:space="preserve">✅ GTT Profit Book: Place first target at resistance; let remaining run with trailing stop</t>
  </si>
  <si>
    <t xml:space="preserve">⚠️ GTT orders expire after 1 year on most brokers — renew them periodically</t>
  </si>
  <si>
    <t xml:space="preserve">⚠️ GTT does not guarantee execution at exact price in fast-moving markets (gap risk)</t>
  </si>
  <si>
    <t xml:space="preserve">💡 TWO-LEG GTT: Set both stop loss AND target simultaneously for full automation</t>
  </si>
  <si>
    <t xml:space="preserve">🔄  SWING TRADING — BUYBACK &amp; DEEP VALUE OPPORTUNITIES</t>
  </si>
  <si>
    <t xml:space="preserve">Strategy: Buy deep-value stocks near buyback price support | Hold 5-15 days | Target 8-15% move | Set GTT stop immediately</t>
  </si>
  <si>
    <t xml:space="preserve">Setup Type</t>
  </si>
  <si>
    <t xml:space="preserve">Entry Zone (₹)</t>
  </si>
  <si>
    <t xml:space="preserve">Target 1 (₹)</t>
  </si>
  <si>
    <t xml:space="preserve">Target 2 (₹)</t>
  </si>
  <si>
    <t xml:space="preserve">Stop Loss (₹)</t>
  </si>
  <si>
    <t xml:space="preserve">Holding Days</t>
  </si>
  <si>
    <t xml:space="preserve">Capital (₹)</t>
  </si>
  <si>
    <t xml:space="preserve">P&amp;L If T1 Hit (₹)</t>
  </si>
  <si>
    <t xml:space="preserve">P&amp;L If T2 Hit (₹)</t>
  </si>
  <si>
    <t xml:space="preserve">Buyback + Dip</t>
  </si>
  <si>
    <t xml:space="preserve">🔥 HIGH</t>
  </si>
  <si>
    <t xml:space="preserve">🟢 ACTIVE</t>
  </si>
  <si>
    <t xml:space="preserve">Buyback Play</t>
  </si>
  <si>
    <t xml:space="preserve">🟡 WATCH</t>
  </si>
  <si>
    <t xml:space="preserve">Value Rebound</t>
  </si>
  <si>
    <t xml:space="preserve">✅ MED</t>
  </si>
  <si>
    <t xml:space="preserve">Deep Value</t>
  </si>
  <si>
    <t xml:space="preserve">10-14</t>
  </si>
  <si>
    <t xml:space="preserve">Oversold</t>
  </si>
  <si>
    <t xml:space="preserve">12-18</t>
  </si>
  <si>
    <t xml:space="preserve">⚪ SETUP</t>
  </si>
  <si>
    <t xml:space="preserve">Support Buy</t>
  </si>
  <si>
    <t xml:space="preserve">Breakout</t>
  </si>
  <si>
    <t xml:space="preserve">📘 SWING TRADING WITH BUYBACK DEEP VALUE — STRATEGY GUIDE</t>
  </si>
  <si>
    <t xml:space="preserve">WHY BUYBACK STOCKS?</t>
  </si>
  <si>
    <t xml:space="preserve">Company is buying back at higher price = floor support | Management confident in business | Less downside risk</t>
  </si>
  <si>
    <t xml:space="preserve">ENTRY TIMING</t>
  </si>
  <si>
    <t xml:space="preserve">Enter when stock dips toward buyback accumulation zone | Confirm RSI below 45 | Volume drying up (sellers exhausted)</t>
  </si>
  <si>
    <t xml:space="preserve">POSITION SIZING</t>
  </si>
  <si>
    <t xml:space="preserve">Never risk more than 2% of total capital per trade | Example: ₹5L portfolio → max ₹10,000 risk per swing trade</t>
  </si>
  <si>
    <t xml:space="preserve">STOP LOSS RULE</t>
  </si>
  <si>
    <t xml:space="preserve">Always set GTT stop immediately after entry | Stop = 5-7% below entry OR below recent swing low</t>
  </si>
  <si>
    <t xml:space="preserve">TARGET SETTING</t>
  </si>
  <si>
    <t xml:space="preserve">Target 1 = Previous resistance (take 50% profit) | Target 2 = Next major resistance (trail stop for rest)</t>
  </si>
  <si>
    <t xml:space="preserve">HOLDING PERIOD</t>
  </si>
  <si>
    <t xml:space="preserve">Swing trades: 5-15 trading days typically | Exit at target even if you think it will go higher</t>
  </si>
  <si>
    <t xml:space="preserve">EXIT SIGNALS</t>
  </si>
  <si>
    <t xml:space="preserve">Price hits Target 1 = book 50% | RSI crosses above 70 = start exiting | Volume dries up at resistance</t>
  </si>
  <si>
    <t xml:space="preserve">AVOID TRAPS</t>
  </si>
  <si>
    <t xml:space="preserve">Never swing trade during budget/RBI/election event risk | Avoid stocks with pending court orders/investigations</t>
  </si>
  <si>
    <t xml:space="preserve">📈  PORTFOLIO CHARTS &amp; VISUAL ANALYSIS</t>
  </si>
  <si>
    <t xml:space="preserve">SECTOR ALLOCATION DATA (auto-linked to portfolio)</t>
  </si>
  <si>
    <t xml:space="preserve">MONTHLY P&amp;L TREND (Enter manually)</t>
  </si>
  <si>
    <t xml:space="preserve">Invested (₹)</t>
  </si>
  <si>
    <t xml:space="preserve">% of Portfolio</t>
  </si>
  <si>
    <t xml:space="preserve">Month</t>
  </si>
  <si>
    <t xml:space="preserve">3,50,000</t>
  </si>
  <si>
    <t xml:space="preserve">4,05,000</t>
  </si>
  <si>
    <t xml:space="preserve">55,000</t>
  </si>
  <si>
    <t xml:space="preserve">32%</t>
  </si>
  <si>
    <t xml:space="preserve">Jan-25</t>
  </si>
  <si>
    <t xml:space="preserve">1,23,750</t>
  </si>
  <si>
    <t xml:space="preserve">1,18,500</t>
  </si>
  <si>
    <t xml:space="preserve">-5,250</t>
  </si>
  <si>
    <t xml:space="preserve">Feb-25</t>
  </si>
  <si>
    <t xml:space="preserve">1,20,000</t>
  </si>
  <si>
    <t xml:space="preserve">1,26,000</t>
  </si>
  <si>
    <t xml:space="preserve">6,000</t>
  </si>
  <si>
    <t xml:space="preserve">Mar-25</t>
  </si>
  <si>
    <t xml:space="preserve">72,000</t>
  </si>
  <si>
    <t xml:space="preserve">74,000</t>
  </si>
  <si>
    <t xml:space="preserve">2,000</t>
  </si>
  <si>
    <t xml:space="preserve">7%</t>
  </si>
  <si>
    <t xml:space="preserve">Apr-25</t>
  </si>
  <si>
    <t xml:space="preserve">96,000</t>
  </si>
  <si>
    <t xml:space="preserve">1,04,000</t>
  </si>
  <si>
    <t xml:space="preserve">8,000</t>
  </si>
  <si>
    <t xml:space="preserve">May-25</t>
  </si>
  <si>
    <t xml:space="preserve">78,000</t>
  </si>
  <si>
    <t xml:space="preserve">Jun-25</t>
  </si>
  <si>
    <t xml:space="preserve">36,750</t>
  </si>
  <si>
    <t xml:space="preserve">38,000</t>
  </si>
  <si>
    <t xml:space="preserve">1,250</t>
  </si>
  <si>
    <t xml:space="preserve">4%</t>
  </si>
  <si>
    <t xml:space="preserve">Jul-25</t>
  </si>
  <si>
    <t xml:space="preserve">2,04,000</t>
  </si>
  <si>
    <t xml:space="preserve">2,20,000</t>
  </si>
  <si>
    <t xml:space="preserve">16,000</t>
  </si>
  <si>
    <t xml:space="preserve">17%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</si>
  <si>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</si>
  <si>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</si>
  <si>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</si>
  <si>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</si>
  <si>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</si>
  <si>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🔔 PORTFOLIO RISK SCORECARD</t>
  </si>
  <si>
    <t xml:space="preserve">Risk Factor</t>
  </si>
  <si>
    <t xml:space="preserve">Your Score</t>
  </si>
  <si>
    <t xml:space="preserve">Benchmark</t>
  </si>
  <si>
    <t xml:space="preserve">Comment</t>
  </si>
  <si>
    <t xml:space="preserve">Diversification</t>
  </si>
  <si>
    <t xml:space="preserve">8/10</t>
  </si>
  <si>
    <t xml:space="preserve">7/10</t>
  </si>
  <si>
    <t xml:space="preserve">✅ GOOD</t>
  </si>
  <si>
    <t xml:space="preserve">Spread across 8+ sectors</t>
  </si>
  <si>
    <t xml:space="preserve">Stop Loss Coverage</t>
  </si>
  <si>
    <t xml:space="preserve">6/10</t>
  </si>
  <si>
    <t xml:space="preserve">9/10</t>
  </si>
  <si>
    <t xml:space="preserve">⚠️ LOW</t>
  </si>
  <si>
    <t xml:space="preserve">Set GTT for all open positions</t>
  </si>
  <si>
    <t xml:space="preserve">Leverage/Margin</t>
  </si>
  <si>
    <t xml:space="preserve">10/10</t>
  </si>
  <si>
    <t xml:space="preserve">No margin — cash delivery only</t>
  </si>
  <si>
    <t xml:space="preserve">Concentration Risk</t>
  </si>
  <si>
    <t xml:space="preserve">⚠️ MEDIUM</t>
  </si>
  <si>
    <t xml:space="preserve">IT sector slightly over-weighted</t>
  </si>
  <si>
    <t xml:space="preserve">Cash Reserve</t>
  </si>
  <si>
    <t xml:space="preserve">5/10</t>
  </si>
  <si>
    <t xml:space="preserve">🔴 LOW</t>
  </si>
  <si>
    <t xml:space="preserve">Keep 15-20% cash for opportunities</t>
  </si>
  <si>
    <t xml:space="preserve">Overall Risk Score</t>
  </si>
  <si>
    <t xml:space="preserve">7.2/10</t>
  </si>
  <si>
    <t xml:space="preserve">8.4/10</t>
  </si>
  <si>
    <t xml:space="preserve">Review stop losses and cash</t>
  </si>
  <si>
    <t xml:space="preserve">📝  WATCHLIST, RESEARCH NOTES &amp; LEARNING TRACKER</t>
  </si>
  <si>
    <t xml:space="preserve">👁 WATCHLIST — STOCKS TO BUY ON NEXT DIP</t>
  </si>
  <si>
    <t xml:space="preserve">Target Entry</t>
  </si>
  <si>
    <t xml:space="preserve">Watch Reason</t>
  </si>
  <si>
    <t xml:space="preserve">Priority</t>
  </si>
  <si>
    <t xml:space="preserve">Research Date</t>
  </si>
  <si>
    <t xml:space="preserve">Notes</t>
  </si>
  <si>
    <t xml:space="preserve">MARUTI SUZUKI</t>
  </si>
  <si>
    <t xml:space="preserve">Auto</t>
  </si>
  <si>
    <t xml:space="preserve">11500</t>
  </si>
  <si>
    <t xml:space="preserve">10800-11000</t>
  </si>
  <si>
    <t xml:space="preserve">EV transition + strong volumes</t>
  </si>
  <si>
    <t xml:space="preserve">HIGH</t>
  </si>
  <si>
    <t xml:space="preserve">ASIAN PAINTS</t>
  </si>
  <si>
    <t xml:space="preserve">2600</t>
  </si>
  <si>
    <t xml:space="preserve">2400-2500</t>
  </si>
  <si>
    <t xml:space="preserve">Volume recovery expected Q4</t>
  </si>
  <si>
    <t xml:space="preserve">DIVI'S LAB</t>
  </si>
  <si>
    <t xml:space="preserve">4800</t>
  </si>
  <si>
    <t xml:space="preserve">4500-4700</t>
  </si>
  <si>
    <t xml:space="preserve">API export growth story</t>
  </si>
  <si>
    <t xml:space="preserve">MEDIUM</t>
  </si>
  <si>
    <t xml:space="preserve">PIDILITE</t>
  </si>
  <si>
    <t xml:space="preserve">2700-2800</t>
  </si>
  <si>
    <t xml:space="preserve">Rural demand recovery</t>
  </si>
  <si>
    <t xml:space="preserve">HDFC LIFE</t>
  </si>
  <si>
    <t xml:space="preserve">Insurance</t>
  </si>
  <si>
    <t xml:space="preserve">680</t>
  </si>
  <si>
    <t xml:space="preserve">640-660</t>
  </si>
  <si>
    <t xml:space="preserve">Insurance penetration growing</t>
  </si>
  <si>
    <t xml:space="preserve">ZOMATO</t>
  </si>
  <si>
    <t xml:space="preserve">Tech</t>
  </si>
  <si>
    <t xml:space="preserve">190-210</t>
  </si>
  <si>
    <t xml:space="preserve">Food delivery market leader</t>
  </si>
  <si>
    <t xml:space="preserve">LOW</t>
  </si>
  <si>
    <t xml:space="preserve">ADANIPORTS</t>
  </si>
  <si>
    <t xml:space="preserve">1250-1300</t>
  </si>
  <si>
    <t xml:space="preserve">Cargo volume growth</t>
  </si>
  <si>
    <t xml:space="preserve">MUTHOOT FIN</t>
  </si>
  <si>
    <t xml:space="preserve">1900</t>
  </si>
  <si>
    <t xml:space="preserve">1750-1850</t>
  </si>
  <si>
    <t xml:space="preserve">Gold loan demand rising</t>
  </si>
  <si>
    <t xml:space="preserve">📜 MY PERSONAL TRADING RULES (Customize These)</t>
  </si>
  <si>
    <t xml:space="preserve">1. NEVER invest more than 10% of portfolio in a single stock</t>
  </si>
  <si>
    <t xml:space="preserve">2. ALWAYS set stop loss / GTT within 24 hours of buying</t>
  </si>
  <si>
    <t xml:space="preserve">3. Buy in 2-3 tranches — never go all-in at once</t>
  </si>
  <si>
    <t xml:space="preserve">4. Minimum 1:2 Risk:Reward ratio for every trade</t>
  </si>
  <si>
    <t xml:space="preserve">5. Book 50% profit when first target is hit, no matter what</t>
  </si>
  <si>
    <t xml:space="preserve">6. No averaging down if fundamental story has changed</t>
  </si>
  <si>
    <t xml:space="preserve">7. Keep 15-20% cash always — opportunity fund</t>
  </si>
  <si>
    <t xml:space="preserve">8. Review portfolio every Sunday evening</t>
  </si>
  <si>
    <t xml:space="preserve">9. Don't trade on tips — only trade what you understand</t>
  </si>
  <si>
    <t xml:space="preserve">10. Log every trade here — review monthly to improve</t>
  </si>
  <si>
    <t xml:space="preserve">📒 TRADE JOURNAL — LOG EVERY TRADE</t>
  </si>
  <si>
    <t xml:space="preserve">Date</t>
  </si>
  <si>
    <t xml:space="preserve">Buy Price</t>
  </si>
  <si>
    <t xml:space="preserve">Sell Price</t>
  </si>
  <si>
    <t xml:space="preserve">% Return</t>
  </si>
  <si>
    <t xml:space="preserve">Lesson Learned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</si>
</sst>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₹#,##0.00"/>
    <numFmt numFmtId="166" formatCode="\₹#,##0.00;&quot;(₹&quot;#,##0.00\);\-"/>
    <numFmt numFmtId="167" formatCode="0.00%;\(0.00%\);\-"/>
    <numFmt numFmtId="168" formatCode="0"/>
    <numFmt numFmtId="169" formatCode="0.00%"/>
    <numFmt numFmtId="170" formatCode="0.0\x"/>
    <numFmt numFmtId="171" formatCode="\₹#,##0"/>
    <numFmt numFmtId="172" formatCode="\₹#,##0;&quot;(₹&quot;#,##0\);\-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1A6B3C"/>
      <name val="Arial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1B2A4A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i val="true"/>
      <sz val="9"/>
      <color rgb="FF1B2A4A"/>
      <name val="Arial"/>
      <family val="0"/>
      <charset val="1"/>
    </font>
    <font>
      <b val="true"/>
      <sz val="9"/>
      <color rgb="FFC55A11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color rgb="FF1B2A4A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1A6B3C"/>
      <name val="Arial"/>
      <family val="0"/>
      <charset val="1"/>
    </font>
    <font>
      <sz val="9"/>
      <color rgb="FF8B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1F4E79"/>
        <bgColor rgb="FF003366"/>
      </patternFill>
    </fill>
    <fill>
      <patternFill patternType="solid">
        <fgColor rgb="FF1A6B3C"/>
        <bgColor rgb="FF1F4E79"/>
      </patternFill>
    </fill>
    <fill>
      <patternFill patternType="solid">
        <fgColor rgb="FFC9A84C"/>
        <bgColor rgb="FFD09493"/>
      </patternFill>
    </fill>
    <fill>
      <patternFill patternType="solid">
        <fgColor rgb="FF7030A0"/>
        <bgColor rgb="FF725990"/>
      </patternFill>
    </fill>
    <fill>
      <patternFill patternType="solid">
        <fgColor rgb="FFC55A11"/>
        <bgColor rgb="FFAB4744"/>
      </patternFill>
    </fill>
    <fill>
      <patternFill patternType="solid">
        <fgColor rgb="FFF2F2F2"/>
        <bgColor rgb="FFF9F9F9"/>
      </patternFill>
    </fill>
    <fill>
      <patternFill patternType="solid">
        <fgColor rgb="FFD6F0E0"/>
        <bgColor rgb="FFD0EBEB"/>
      </patternFill>
    </fill>
    <fill>
      <patternFill patternType="solid">
        <fgColor rgb="FFFFFFFF"/>
        <bgColor rgb="FFF9F9F9"/>
      </patternFill>
    </fill>
    <fill>
      <patternFill patternType="solid">
        <fgColor rgb="FFEAD1F5"/>
        <bgColor rgb="FFD9D9D9"/>
      </patternFill>
    </fill>
    <fill>
      <patternFill patternType="solid">
        <fgColor rgb="FFFCE4D6"/>
        <bgColor rgb="FFFFE0E0"/>
      </patternFill>
    </fill>
    <fill>
      <patternFill patternType="solid">
        <fgColor rgb="FFDEEAF1"/>
        <bgColor rgb="FFD0EBEB"/>
      </patternFill>
    </fill>
    <fill>
      <patternFill patternType="solid">
        <fgColor rgb="FFF5E6C0"/>
        <bgColor rgb="FFFCE4D6"/>
      </patternFill>
    </fill>
    <fill>
      <patternFill patternType="solid">
        <fgColor rgb="FF8B0000"/>
        <bgColor rgb="FF800000"/>
      </patternFill>
    </fill>
    <fill>
      <patternFill patternType="solid">
        <fgColor rgb="FFFFE0E0"/>
        <bgColor rgb="FFFCE4D6"/>
      </patternFill>
    </fill>
    <fill>
      <patternFill patternType="solid">
        <fgColor rgb="FF008080"/>
        <bgColor rgb="FF1A6B3C"/>
      </patternFill>
    </fill>
    <fill>
      <patternFill patternType="solid">
        <fgColor rgb="FFD0EBEB"/>
        <bgColor rgb="FFD6F0E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1B2A4A"/>
      </left>
      <right/>
      <top style="medium">
        <color rgb="FF1B2A4A"/>
      </top>
      <bottom style="medium">
        <color rgb="FF1B2A4A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8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9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6F0E0"/>
        </patternFill>
      </fill>
    </dxf>
    <dxf>
      <fill>
        <patternFill>
          <bgColor rgb="FFFF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B0000"/>
      <rgbColor rgb="FF1A6B3C"/>
      <rgbColor rgb="FF000080"/>
      <rgbColor rgb="FF808000"/>
      <rgbColor rgb="FF800080"/>
      <rgbColor rgb="FF008080"/>
      <rgbColor rgb="FFBFBFBF"/>
      <rgbColor rgb="FF878787"/>
      <rgbColor rgb="FF93A9CE"/>
      <rgbColor rgb="FFAB4744"/>
      <rgbColor rgb="FFF9F9F9"/>
      <rgbColor rgb="FFD0EBEB"/>
      <rgbColor rgb="FF660066"/>
      <rgbColor rgb="FFDC853E"/>
      <rgbColor rgb="FF4672A8"/>
      <rgbColor rgb="FFEAD1F5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EEAF1"/>
      <rgbColor rgb="FFD6F0E0"/>
      <rgbColor rgb="FFF5E6C0"/>
      <rgbColor rgb="FFD9D9D9"/>
      <rgbColor rgb="FFD09493"/>
      <rgbColor rgb="FFFFE0E0"/>
      <rgbColor rgb="FFFCE4D6"/>
      <rgbColor rgb="FF4A7EBB"/>
      <rgbColor rgb="FF33CCCC"/>
      <rgbColor rgb="FF99CC00"/>
      <rgbColor rgb="FFFFCC00"/>
      <rgbColor rgb="FFC9A84C"/>
      <rgbColor rgb="FFC55A11"/>
      <rgbColor rgb="FF725990"/>
      <rgbColor rgb="FF8AA64F"/>
      <rgbColor rgb="FF003366"/>
      <rgbColor rgb="FF4299B0"/>
      <rgbColor rgb="FF003300"/>
      <rgbColor rgb="FF333300"/>
      <rgbColor rgb="FF993300"/>
      <rgbColor rgb="FF7030A0"/>
      <rgbColor rgb="FF1F4E7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Sector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Charts &amp; Analysis'!F3</c:f>
              <c:strCache>
                <c:ptCount val="1"/>
                <c:pt idx="0">
                  <c:v>% of Portfolio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'📈 Charts &amp; Analysis'!$B$4:$B$11</c:f>
              <c:strCache>
                <c:ptCount val="8"/>
                <c:pt idx="0">
                  <c:v>IT</c:v>
                </c:pt>
                <c:pt idx="1">
                  <c:v>Banking</c:v>
                </c:pt>
                <c:pt idx="2">
                  <c:v>Energy</c:v>
                </c:pt>
                <c:pt idx="3">
                  <c:v>Pharma</c:v>
                </c:pt>
                <c:pt idx="4">
                  <c:v>Infra</c:v>
                </c:pt>
                <c:pt idx="5">
                  <c:v>Utilities</c:v>
                </c:pt>
                <c:pt idx="6">
                  <c:v>Mining</c:v>
                </c:pt>
                <c:pt idx="7">
                  <c:v>NBFC</c:v>
                </c:pt>
              </c:strCache>
            </c:strRef>
          </c:cat>
          <c:val>
            <c:numRef>
              <c:f>'📈 Charts &amp; Analysis'!$F$4:$F$11</c:f>
              <c:numCache>
                <c:formatCode>General</c:formatCode>
                <c:ptCount val="8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P&amp;L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Charts &amp; Analysis'!J3</c:f>
              <c:strCache>
                <c:ptCount val="1"/>
                <c:pt idx="0">
                  <c:v>P&amp;L (₹)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 &amp; Analysis'!$I$4:$I$15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'📈 Charts &amp; Analysis'!$J$4:$J$15</c:f>
              <c:numCache>
                <c:formatCode>\₹#,##0;"(₹"#,##0\);\-</c:formatCode>
                <c:ptCount val="12"/>
                <c:pt idx="0">
                  <c:v>8500</c:v>
                </c:pt>
                <c:pt idx="1">
                  <c:v>12000</c:v>
                </c:pt>
                <c:pt idx="2">
                  <c:v>-3200</c:v>
                </c:pt>
                <c:pt idx="3">
                  <c:v>15000</c:v>
                </c:pt>
                <c:pt idx="4">
                  <c:v>9800</c:v>
                </c:pt>
                <c:pt idx="5">
                  <c:v>18000</c:v>
                </c:pt>
                <c:pt idx="6">
                  <c:v>-5000</c:v>
                </c:pt>
                <c:pt idx="7">
                  <c:v>22000</c:v>
                </c:pt>
                <c:pt idx="8">
                  <c:v>14000</c:v>
                </c:pt>
                <c:pt idx="9">
                  <c:v>19000</c:v>
                </c:pt>
                <c:pt idx="10">
                  <c:v>7500</c:v>
                </c:pt>
                <c:pt idx="11">
                  <c:v>25000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691575"/>
        <c:axId val="19452873"/>
      </c:lineChart>
      <c:catAx>
        <c:axId val="876915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52873"/>
        <c:crosses val="autoZero"/>
        <c:auto val="1"/>
        <c:lblAlgn val="ctr"/>
        <c:lblOffset val="100"/>
        <c:noMultiLvlLbl val="0"/>
      </c:catAx>
      <c:valAx>
        <c:axId val="194528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P&amp;L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915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6</xdr:col>
      <xdr:colOff>528840</xdr:colOff>
      <xdr:row>34</xdr:row>
      <xdr:rowOff>90720</xdr:rowOff>
    </xdr:to>
    <xdr:graphicFrame>
      <xdr:nvGraphicFramePr>
        <xdr:cNvPr id="0" name="Chart 1"/>
        <xdr:cNvGraphicFramePr/>
      </xdr:nvGraphicFramePr>
      <xdr:xfrm>
        <a:off x="141120" y="255276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15</xdr:col>
      <xdr:colOff>398880</xdr:colOff>
      <xdr:row>34</xdr:row>
      <xdr:rowOff>90720</xdr:rowOff>
    </xdr:to>
    <xdr:graphicFrame>
      <xdr:nvGraphicFramePr>
        <xdr:cNvPr id="1" name="Chart 2"/>
        <xdr:cNvGraphicFramePr/>
      </xdr:nvGraphicFramePr>
      <xdr:xfrm>
        <a:off x="5497920" y="25527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1:L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12" min="3" style="0" width="14"/>
  </cols>
  <sheetData>
    <row r="1" customFormat="false" ht="49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9.5" hidden="false" customHeight="true" outlineLevel="0" collapsed="false">
      <c r="B4" s="4" t="s">
        <v>3</v>
      </c>
      <c r="C4" s="4"/>
      <c r="D4" s="5" t="s">
        <v>4</v>
      </c>
      <c r="E4" s="5"/>
      <c r="F4" s="6" t="s">
        <v>5</v>
      </c>
      <c r="G4" s="6"/>
      <c r="H4" s="7" t="s">
        <v>6</v>
      </c>
      <c r="I4" s="7"/>
      <c r="J4" s="8" t="s">
        <v>7</v>
      </c>
      <c r="K4" s="8"/>
      <c r="L4" s="9" t="s">
        <v>8</v>
      </c>
    </row>
    <row r="5" customFormat="false" ht="27.75" hidden="false" customHeight="true" outlineLevel="0" collapsed="false">
      <c r="B5" s="10" t="n">
        <f aca="false">SUM('📋 Portfolio'!H2:H21)</f>
        <v>0</v>
      </c>
      <c r="C5" s="10"/>
      <c r="D5" s="11" t="n">
        <f aca="false">SUM('📋 Portfolio'!G2:G21)</f>
        <v>15185</v>
      </c>
      <c r="E5" s="11"/>
      <c r="F5" s="12" t="n">
        <f aca="false">SUM('📋 Portfolio'!I2:I21)</f>
        <v>1835000</v>
      </c>
      <c r="G5" s="12"/>
      <c r="H5" s="13" t="n">
        <f aca="false">(SUM('📋 Portfolio'!H2:H21)-SUM('📋 Portfolio'!G2:G21))/IF(SUM('📋 Portfolio'!G2:G21)=0,1,SUM('📋 Portfolio'!G2:G21))</f>
        <v>-1</v>
      </c>
      <c r="I5" s="13"/>
      <c r="J5" s="14" t="n">
        <f aca="false">COUNTA('🎯 GTT Plan'!B2:B21)</f>
        <v>17</v>
      </c>
      <c r="K5" s="14"/>
      <c r="L5" s="15" t="n">
        <f aca="false">COUNTA('🔄 Swing Trading'!B2:B16)</f>
        <v>14</v>
      </c>
    </row>
    <row r="7" customFormat="false" ht="6" hidden="false" customHeight="true" outlineLevel="0" collapsed="false"/>
    <row r="8" customFormat="false" ht="15" hidden="false" customHeight="false" outlineLevel="0" collapsed="false">
      <c r="B8" s="16" t="s">
        <v>9</v>
      </c>
      <c r="C8" s="16"/>
      <c r="D8" s="16"/>
      <c r="E8" s="16"/>
      <c r="F8" s="16"/>
      <c r="H8" s="16" t="s">
        <v>10</v>
      </c>
      <c r="I8" s="16"/>
      <c r="J8" s="16"/>
      <c r="K8" s="16"/>
    </row>
    <row r="9" customFormat="false" ht="15.75" hidden="false" customHeight="true" outlineLevel="0" collapsed="false">
      <c r="B9" s="17" t="s">
        <v>11</v>
      </c>
      <c r="C9" s="17" t="s">
        <v>12</v>
      </c>
      <c r="D9" s="17" t="s">
        <v>13</v>
      </c>
      <c r="E9" s="17" t="s">
        <v>14</v>
      </c>
      <c r="F9" s="17" t="s">
        <v>15</v>
      </c>
      <c r="G9" s="17" t="s">
        <v>16</v>
      </c>
      <c r="H9" s="18" t="s">
        <v>11</v>
      </c>
      <c r="I9" s="18" t="s">
        <v>17</v>
      </c>
      <c r="J9" s="18" t="s">
        <v>18</v>
      </c>
      <c r="K9" s="18" t="s">
        <v>19</v>
      </c>
    </row>
    <row r="10" customFormat="false" ht="15" hidden="false" customHeight="false" outlineLevel="0" collapsed="false">
      <c r="B10" s="19" t="s">
        <v>20</v>
      </c>
      <c r="C10" s="19" t="s">
        <v>21</v>
      </c>
      <c r="D10" s="20" t="s">
        <v>22</v>
      </c>
      <c r="E10" s="20" t="s">
        <v>23</v>
      </c>
      <c r="F10" s="21" t="n">
        <f aca="false">C10*D10</f>
        <v>120000</v>
      </c>
      <c r="G10" s="22" t="n">
        <f aca="false">F10-(C10*E10)</f>
        <v>-6000</v>
      </c>
      <c r="H10" s="23" t="s">
        <v>24</v>
      </c>
      <c r="I10" s="23" t="s">
        <v>25</v>
      </c>
      <c r="J10" s="23" t="s">
        <v>26</v>
      </c>
      <c r="K10" s="23" t="s">
        <v>27</v>
      </c>
    </row>
    <row r="11" customFormat="false" ht="15" hidden="false" customHeight="false" outlineLevel="0" collapsed="false">
      <c r="B11" s="24" t="s">
        <v>28</v>
      </c>
      <c r="C11" s="24" t="s">
        <v>29</v>
      </c>
      <c r="D11" s="25" t="s">
        <v>30</v>
      </c>
      <c r="E11" s="25" t="s">
        <v>31</v>
      </c>
      <c r="F11" s="26" t="n">
        <f aca="false">C11*D11</f>
        <v>150000</v>
      </c>
      <c r="G11" s="27" t="n">
        <f aca="false">F11-(C11*E11)</f>
        <v>-12000</v>
      </c>
      <c r="H11" s="28" t="s">
        <v>32</v>
      </c>
      <c r="I11" s="28" t="s">
        <v>33</v>
      </c>
      <c r="J11" s="28" t="s">
        <v>34</v>
      </c>
      <c r="K11" s="28" t="s">
        <v>35</v>
      </c>
    </row>
    <row r="12" customFormat="false" ht="15" hidden="false" customHeight="false" outlineLevel="0" collapsed="false">
      <c r="B12" s="19" t="s">
        <v>36</v>
      </c>
      <c r="C12" s="19" t="s">
        <v>37</v>
      </c>
      <c r="D12" s="20" t="s">
        <v>38</v>
      </c>
      <c r="E12" s="20" t="s">
        <v>39</v>
      </c>
      <c r="F12" s="21" t="n">
        <f aca="false">C12*D12</f>
        <v>85000</v>
      </c>
      <c r="G12" s="22" t="n">
        <f aca="false">F12-(C12*E12)</f>
        <v>-5000</v>
      </c>
      <c r="H12" s="23" t="s">
        <v>40</v>
      </c>
      <c r="I12" s="23" t="s">
        <v>33</v>
      </c>
      <c r="J12" s="23" t="s">
        <v>41</v>
      </c>
      <c r="K12" s="23" t="s">
        <v>42</v>
      </c>
    </row>
    <row r="13" customFormat="false" ht="15" hidden="false" customHeight="false" outlineLevel="0" collapsed="false">
      <c r="B13" s="24" t="s">
        <v>43</v>
      </c>
      <c r="C13" s="24" t="s">
        <v>44</v>
      </c>
      <c r="D13" s="25" t="s">
        <v>45</v>
      </c>
      <c r="E13" s="25" t="s">
        <v>46</v>
      </c>
      <c r="F13" s="26" t="n">
        <f aca="false">C13*D13</f>
        <v>123750</v>
      </c>
      <c r="G13" s="27" t="n">
        <f aca="false">F13-(C13*E13)</f>
        <v>5250</v>
      </c>
      <c r="H13" s="28" t="s">
        <v>47</v>
      </c>
      <c r="I13" s="28" t="s">
        <v>48</v>
      </c>
      <c r="J13" s="28" t="s">
        <v>49</v>
      </c>
      <c r="K13" s="28" t="s">
        <v>50</v>
      </c>
    </row>
    <row r="14" customFormat="false" ht="15" hidden="false" customHeight="false" outlineLevel="0" collapsed="false">
      <c r="B14" s="19" t="s">
        <v>51</v>
      </c>
      <c r="C14" s="19" t="s">
        <v>52</v>
      </c>
      <c r="D14" s="20" t="s">
        <v>53</v>
      </c>
      <c r="E14" s="20" t="s">
        <v>54</v>
      </c>
      <c r="F14" s="21" t="n">
        <f aca="false">C14*D14</f>
        <v>90000</v>
      </c>
      <c r="G14" s="22" t="n">
        <f aca="false">F14-(C14*E14)</f>
        <v>4000</v>
      </c>
      <c r="H14" s="23" t="s">
        <v>55</v>
      </c>
      <c r="I14" s="23" t="s">
        <v>25</v>
      </c>
      <c r="J14" s="23" t="s">
        <v>56</v>
      </c>
      <c r="K14" s="23" t="s">
        <v>57</v>
      </c>
    </row>
    <row r="16" customFormat="false" ht="15" hidden="false" customHeight="false" outlineLevel="0" collapsed="false">
      <c r="B16" s="16" t="s">
        <v>58</v>
      </c>
      <c r="C16" s="16"/>
      <c r="D16" s="16"/>
      <c r="E16" s="16"/>
      <c r="F16" s="16"/>
      <c r="H16" s="16" t="s">
        <v>59</v>
      </c>
      <c r="I16" s="16"/>
      <c r="J16" s="16"/>
      <c r="K16" s="16"/>
    </row>
    <row r="17" customFormat="false" ht="15" hidden="false" customHeight="false" outlineLevel="0" collapsed="false">
      <c r="B17" s="29" t="s">
        <v>60</v>
      </c>
      <c r="C17" s="29" t="s">
        <v>61</v>
      </c>
      <c r="D17" s="29" t="s">
        <v>14</v>
      </c>
      <c r="E17" s="29" t="s">
        <v>62</v>
      </c>
      <c r="F17" s="29" t="s">
        <v>63</v>
      </c>
      <c r="H17" s="29" t="s">
        <v>11</v>
      </c>
      <c r="I17" s="29" t="s">
        <v>64</v>
      </c>
      <c r="J17" s="29" t="s">
        <v>65</v>
      </c>
      <c r="K17" s="29" t="s">
        <v>63</v>
      </c>
    </row>
    <row r="18" customFormat="false" ht="15" hidden="false" customHeight="false" outlineLevel="0" collapsed="false">
      <c r="B18" s="30" t="s">
        <v>28</v>
      </c>
      <c r="C18" s="30" t="s">
        <v>66</v>
      </c>
      <c r="D18" s="30" t="s">
        <v>67</v>
      </c>
      <c r="E18" s="30" t="s">
        <v>68</v>
      </c>
      <c r="F18" s="30" t="s">
        <v>69</v>
      </c>
      <c r="H18" s="30" t="s">
        <v>20</v>
      </c>
      <c r="I18" s="30" t="s">
        <v>70</v>
      </c>
      <c r="J18" s="30" t="s">
        <v>71</v>
      </c>
      <c r="K18" s="30" t="s">
        <v>72</v>
      </c>
    </row>
    <row r="19" customFormat="false" ht="15" hidden="false" customHeight="false" outlineLevel="0" collapsed="false">
      <c r="B19" s="28" t="s">
        <v>36</v>
      </c>
      <c r="C19" s="28" t="s">
        <v>73</v>
      </c>
      <c r="D19" s="28" t="s">
        <v>74</v>
      </c>
      <c r="E19" s="28" t="s">
        <v>75</v>
      </c>
      <c r="F19" s="28" t="s">
        <v>69</v>
      </c>
      <c r="H19" s="28" t="s">
        <v>28</v>
      </c>
      <c r="I19" s="28" t="s">
        <v>76</v>
      </c>
      <c r="J19" s="28" t="s">
        <v>77</v>
      </c>
      <c r="K19" s="28" t="s">
        <v>78</v>
      </c>
    </row>
    <row r="20" customFormat="false" ht="15" hidden="false" customHeight="false" outlineLevel="0" collapsed="false">
      <c r="B20" s="30" t="s">
        <v>79</v>
      </c>
      <c r="C20" s="30" t="s">
        <v>80</v>
      </c>
      <c r="D20" s="30" t="s">
        <v>81</v>
      </c>
      <c r="E20" s="30" t="s">
        <v>82</v>
      </c>
      <c r="F20" s="30" t="s">
        <v>83</v>
      </c>
      <c r="H20" s="30" t="s">
        <v>43</v>
      </c>
      <c r="I20" s="30" t="s">
        <v>84</v>
      </c>
      <c r="J20" s="30" t="s">
        <v>85</v>
      </c>
      <c r="K20" s="30" t="s">
        <v>72</v>
      </c>
    </row>
    <row r="21" customFormat="false" ht="15" hidden="false" customHeight="false" outlineLevel="0" collapsed="false">
      <c r="B21" s="28" t="s">
        <v>51</v>
      </c>
      <c r="C21" s="28" t="s">
        <v>86</v>
      </c>
      <c r="D21" s="28" t="s">
        <v>87</v>
      </c>
      <c r="E21" s="28" t="s">
        <v>88</v>
      </c>
      <c r="F21" s="28" t="s">
        <v>69</v>
      </c>
      <c r="H21" s="28" t="s">
        <v>36</v>
      </c>
      <c r="I21" s="28" t="s">
        <v>89</v>
      </c>
      <c r="J21" s="28" t="s">
        <v>90</v>
      </c>
      <c r="K21" s="28" t="s">
        <v>91</v>
      </c>
    </row>
    <row r="22" customFormat="false" ht="15" hidden="false" customHeight="false" outlineLevel="0" collapsed="false">
      <c r="B22" s="16" t="s">
        <v>92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customFormat="false" ht="15" hidden="false" customHeight="false" outlineLevel="0" collapsed="false">
      <c r="B23" s="31" t="s">
        <v>11</v>
      </c>
      <c r="C23" s="31" t="s">
        <v>93</v>
      </c>
      <c r="D23" s="31" t="s">
        <v>94</v>
      </c>
      <c r="E23" s="31" t="s">
        <v>18</v>
      </c>
      <c r="F23" s="31" t="s">
        <v>77</v>
      </c>
      <c r="G23" s="31" t="s">
        <v>95</v>
      </c>
      <c r="H23" s="31" t="s">
        <v>96</v>
      </c>
      <c r="I23" s="31" t="s">
        <v>97</v>
      </c>
      <c r="J23" s="31" t="s">
        <v>98</v>
      </c>
    </row>
    <row r="24" customFormat="false" ht="15" hidden="false" customHeight="false" outlineLevel="0" collapsed="false">
      <c r="B24" s="32" t="s">
        <v>28</v>
      </c>
      <c r="C24" s="32" t="s">
        <v>99</v>
      </c>
      <c r="D24" s="32" t="s">
        <v>100</v>
      </c>
      <c r="E24" s="32" t="s">
        <v>101</v>
      </c>
      <c r="F24" s="32" t="s">
        <v>76</v>
      </c>
      <c r="G24" s="32" t="s">
        <v>102</v>
      </c>
      <c r="H24" s="32" t="s">
        <v>103</v>
      </c>
      <c r="I24" s="32" t="s">
        <v>104</v>
      </c>
      <c r="J24" s="33" t="s">
        <v>105</v>
      </c>
    </row>
    <row r="25" customFormat="false" ht="15" hidden="false" customHeight="false" outlineLevel="0" collapsed="false">
      <c r="B25" s="28" t="s">
        <v>51</v>
      </c>
      <c r="C25" s="28" t="s">
        <v>106</v>
      </c>
      <c r="D25" s="28" t="s">
        <v>107</v>
      </c>
      <c r="E25" s="28" t="s">
        <v>108</v>
      </c>
      <c r="F25" s="28" t="s">
        <v>109</v>
      </c>
      <c r="G25" s="28" t="s">
        <v>110</v>
      </c>
      <c r="H25" s="28" t="s">
        <v>111</v>
      </c>
      <c r="I25" s="28" t="s">
        <v>104</v>
      </c>
      <c r="J25" s="34" t="s">
        <v>105</v>
      </c>
    </row>
    <row r="26" customFormat="false" ht="15" hidden="false" customHeight="false" outlineLevel="0" collapsed="false">
      <c r="B26" s="32" t="s">
        <v>36</v>
      </c>
      <c r="C26" s="32" t="s">
        <v>112</v>
      </c>
      <c r="D26" s="32" t="s">
        <v>113</v>
      </c>
      <c r="E26" s="32" t="s">
        <v>114</v>
      </c>
      <c r="F26" s="32" t="s">
        <v>115</v>
      </c>
      <c r="G26" s="32" t="s">
        <v>116</v>
      </c>
      <c r="H26" s="32" t="s">
        <v>117</v>
      </c>
      <c r="I26" s="32" t="s">
        <v>118</v>
      </c>
      <c r="J26" s="35" t="s">
        <v>119</v>
      </c>
    </row>
    <row r="27" customFormat="false" ht="15" hidden="false" customHeight="false" outlineLevel="0" collapsed="false">
      <c r="B27" s="28" t="s">
        <v>79</v>
      </c>
      <c r="C27" s="28" t="s">
        <v>120</v>
      </c>
      <c r="D27" s="28" t="s">
        <v>121</v>
      </c>
      <c r="E27" s="28" t="s">
        <v>122</v>
      </c>
      <c r="F27" s="28" t="s">
        <v>123</v>
      </c>
      <c r="G27" s="28" t="s">
        <v>124</v>
      </c>
      <c r="H27" s="28" t="s">
        <v>125</v>
      </c>
      <c r="I27" s="28" t="s">
        <v>104</v>
      </c>
      <c r="J27" s="34" t="s">
        <v>105</v>
      </c>
    </row>
  </sheetData>
  <mergeCells count="18">
    <mergeCell ref="B1:L1"/>
    <mergeCell ref="B2:L2"/>
    <mergeCell ref="B3:L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8:F8"/>
    <mergeCell ref="H8:K8"/>
    <mergeCell ref="B16:F16"/>
    <mergeCell ref="H16:K16"/>
    <mergeCell ref="B22:L22"/>
  </mergeCells>
  <conditionalFormatting sqref="G10:G14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1:O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3" min="11" style="0" width="14"/>
  </cols>
  <sheetData>
    <row r="1" customFormat="false" ht="36" hidden="false" customHeight="true" outlineLevel="0" collapsed="false">
      <c r="B1" s="36" t="s">
        <v>126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31.5" hidden="false" customHeight="true" outlineLevel="0" collapsed="false">
      <c r="B2" s="17" t="s">
        <v>127</v>
      </c>
      <c r="C2" s="17" t="s">
        <v>128</v>
      </c>
      <c r="D2" s="17" t="s">
        <v>129</v>
      </c>
      <c r="E2" s="17" t="s">
        <v>130</v>
      </c>
      <c r="F2" s="17" t="s">
        <v>12</v>
      </c>
      <c r="G2" s="17" t="s">
        <v>131</v>
      </c>
      <c r="H2" s="17" t="s">
        <v>132</v>
      </c>
      <c r="I2" s="17" t="s">
        <v>133</v>
      </c>
      <c r="J2" s="17" t="s">
        <v>134</v>
      </c>
      <c r="K2" s="17" t="s">
        <v>135</v>
      </c>
      <c r="L2" s="17" t="s">
        <v>136</v>
      </c>
      <c r="M2" s="17" t="s">
        <v>137</v>
      </c>
      <c r="N2" s="17" t="s">
        <v>138</v>
      </c>
      <c r="O2" s="17" t="s">
        <v>139</v>
      </c>
    </row>
    <row r="3" customFormat="false" ht="15" hidden="false" customHeight="false" outlineLevel="0" collapsed="false">
      <c r="B3" s="37" t="s">
        <v>20</v>
      </c>
      <c r="C3" s="38" t="s">
        <v>140</v>
      </c>
      <c r="D3" s="38" t="s">
        <v>141</v>
      </c>
      <c r="E3" s="38" t="s">
        <v>142</v>
      </c>
      <c r="F3" s="39" t="n">
        <v>50</v>
      </c>
      <c r="G3" s="40" t="n">
        <v>2400</v>
      </c>
      <c r="H3" s="41" t="n">
        <v>0</v>
      </c>
      <c r="I3" s="42" t="n">
        <f aca="false">F3*G3</f>
        <v>120000</v>
      </c>
      <c r="J3" s="42" t="n">
        <f aca="false">F3*H3</f>
        <v>0</v>
      </c>
      <c r="K3" s="43" t="n">
        <f aca="false">J3-I3</f>
        <v>-120000</v>
      </c>
      <c r="L3" s="44" t="n">
        <f aca="false">IF(I3=0,0,(J3-I3)/I3)</f>
        <v>-1</v>
      </c>
      <c r="M3" s="45" t="n">
        <f aca="false">IF(SUM(J$3:J$22)=0,0,J3/SUM(J$3:J$22))</f>
        <v>0</v>
      </c>
      <c r="N3" s="46" t="n">
        <v>2800</v>
      </c>
      <c r="O3" s="46" t="n">
        <v>2100</v>
      </c>
    </row>
    <row r="4" customFormat="false" ht="15" hidden="false" customHeight="false" outlineLevel="0" collapsed="false">
      <c r="B4" s="47" t="s">
        <v>28</v>
      </c>
      <c r="C4" s="28" t="s">
        <v>143</v>
      </c>
      <c r="D4" s="28" t="s">
        <v>141</v>
      </c>
      <c r="E4" s="28" t="s">
        <v>144</v>
      </c>
      <c r="F4" s="48" t="n">
        <v>100</v>
      </c>
      <c r="G4" s="49" t="n">
        <v>1500</v>
      </c>
      <c r="H4" s="41" t="n">
        <v>0</v>
      </c>
      <c r="I4" s="26" t="n">
        <f aca="false">F4*G4</f>
        <v>150000</v>
      </c>
      <c r="J4" s="26" t="n">
        <f aca="false">F4*H4</f>
        <v>0</v>
      </c>
      <c r="K4" s="27" t="n">
        <f aca="false">J4-I4</f>
        <v>-150000</v>
      </c>
      <c r="L4" s="50" t="n">
        <f aca="false">IF(I4=0,0,(J4-I4)/I4)</f>
        <v>-1</v>
      </c>
      <c r="M4" s="51" t="n">
        <f aca="false">IF(SUM(J$3:J$22)=0,0,J4/SUM(J$3:J$22))</f>
        <v>0</v>
      </c>
      <c r="N4" s="25" t="n">
        <v>1900</v>
      </c>
      <c r="O4" s="25" t="n">
        <v>1350</v>
      </c>
    </row>
    <row r="5" customFormat="false" ht="15" hidden="false" customHeight="false" outlineLevel="0" collapsed="false">
      <c r="B5" s="37" t="s">
        <v>36</v>
      </c>
      <c r="C5" s="38" t="s">
        <v>143</v>
      </c>
      <c r="D5" s="38" t="s">
        <v>141</v>
      </c>
      <c r="E5" s="38" t="s">
        <v>145</v>
      </c>
      <c r="F5" s="39" t="n">
        <v>25</v>
      </c>
      <c r="G5" s="40" t="n">
        <v>3400</v>
      </c>
      <c r="H5" s="41" t="n">
        <v>0</v>
      </c>
      <c r="I5" s="42" t="n">
        <f aca="false">F5*G5</f>
        <v>85000</v>
      </c>
      <c r="J5" s="42" t="n">
        <f aca="false">F5*H5</f>
        <v>0</v>
      </c>
      <c r="K5" s="43" t="n">
        <f aca="false">J5-I5</f>
        <v>-85000</v>
      </c>
      <c r="L5" s="44" t="n">
        <f aca="false">IF(I5=0,0,(J5-I5)/I5)</f>
        <v>-1</v>
      </c>
      <c r="M5" s="45" t="n">
        <f aca="false">IF(SUM(J$3:J$22)=0,0,J5/SUM(J$3:J$22))</f>
        <v>0</v>
      </c>
      <c r="N5" s="46" t="n">
        <v>4000</v>
      </c>
      <c r="O5" s="46" t="n">
        <v>3100</v>
      </c>
    </row>
    <row r="6" customFormat="false" ht="15" hidden="false" customHeight="false" outlineLevel="0" collapsed="false">
      <c r="B6" s="47" t="s">
        <v>43</v>
      </c>
      <c r="C6" s="28" t="s">
        <v>146</v>
      </c>
      <c r="D6" s="28" t="s">
        <v>141</v>
      </c>
      <c r="E6" s="28" t="s">
        <v>147</v>
      </c>
      <c r="F6" s="48" t="n">
        <v>75</v>
      </c>
      <c r="G6" s="49" t="n">
        <v>1650</v>
      </c>
      <c r="H6" s="41" t="n">
        <v>0</v>
      </c>
      <c r="I6" s="26" t="n">
        <f aca="false">F6*G6</f>
        <v>123750</v>
      </c>
      <c r="J6" s="26" t="n">
        <f aca="false">F6*H6</f>
        <v>0</v>
      </c>
      <c r="K6" s="27" t="n">
        <f aca="false">J6-I6</f>
        <v>-123750</v>
      </c>
      <c r="L6" s="50" t="n">
        <f aca="false">IF(I6=0,0,(J6-I6)/I6)</f>
        <v>-1</v>
      </c>
      <c r="M6" s="51" t="n">
        <f aca="false">IF(SUM(J$3:J$22)=0,0,J6/SUM(J$3:J$22))</f>
        <v>0</v>
      </c>
      <c r="N6" s="25" t="n">
        <v>1900</v>
      </c>
      <c r="O6" s="25" t="n">
        <v>1400</v>
      </c>
    </row>
    <row r="7" customFormat="false" ht="15" hidden="false" customHeight="false" outlineLevel="0" collapsed="false">
      <c r="B7" s="37" t="s">
        <v>51</v>
      </c>
      <c r="C7" s="38" t="s">
        <v>143</v>
      </c>
      <c r="D7" s="38" t="s">
        <v>141</v>
      </c>
      <c r="E7" s="38" t="s">
        <v>148</v>
      </c>
      <c r="F7" s="39" t="n">
        <v>200</v>
      </c>
      <c r="G7" s="40" t="n">
        <v>450</v>
      </c>
      <c r="H7" s="41" t="n">
        <v>0</v>
      </c>
      <c r="I7" s="42" t="n">
        <f aca="false">F7*G7</f>
        <v>90000</v>
      </c>
      <c r="J7" s="42" t="n">
        <f aca="false">F7*H7</f>
        <v>0</v>
      </c>
      <c r="K7" s="43" t="n">
        <f aca="false">J7-I7</f>
        <v>-90000</v>
      </c>
      <c r="L7" s="44" t="n">
        <f aca="false">IF(I7=0,0,(J7-I7)/I7)</f>
        <v>-1</v>
      </c>
      <c r="M7" s="45" t="n">
        <f aca="false">IF(SUM(J$3:J$22)=0,0,J7/SUM(J$3:J$22))</f>
        <v>0</v>
      </c>
      <c r="N7" s="46" t="n">
        <v>570</v>
      </c>
      <c r="O7" s="46" t="n">
        <v>380</v>
      </c>
    </row>
    <row r="8" customFormat="false" ht="15" hidden="false" customHeight="false" outlineLevel="0" collapsed="false">
      <c r="B8" s="47" t="s">
        <v>32</v>
      </c>
      <c r="C8" s="28" t="s">
        <v>149</v>
      </c>
      <c r="D8" s="28" t="s">
        <v>141</v>
      </c>
      <c r="E8" s="28" t="s">
        <v>150</v>
      </c>
      <c r="F8" s="48" t="n">
        <v>80</v>
      </c>
      <c r="G8" s="49" t="n">
        <v>900</v>
      </c>
      <c r="H8" s="41" t="n">
        <v>0</v>
      </c>
      <c r="I8" s="26" t="n">
        <f aca="false">F8*G8</f>
        <v>72000</v>
      </c>
      <c r="J8" s="26" t="n">
        <f aca="false">F8*H8</f>
        <v>0</v>
      </c>
      <c r="K8" s="27" t="n">
        <f aca="false">J8-I8</f>
        <v>-72000</v>
      </c>
      <c r="L8" s="50" t="n">
        <f aca="false">IF(I8=0,0,(J8-I8)/I8)</f>
        <v>-1</v>
      </c>
      <c r="M8" s="51" t="n">
        <f aca="false">IF(SUM(J$3:J$22)=0,0,J8/SUM(J$3:J$22))</f>
        <v>0</v>
      </c>
      <c r="N8" s="25" t="n">
        <v>1100</v>
      </c>
      <c r="O8" s="25" t="n">
        <v>780</v>
      </c>
    </row>
    <row r="9" customFormat="false" ht="15" hidden="false" customHeight="false" outlineLevel="0" collapsed="false">
      <c r="B9" s="37" t="s">
        <v>24</v>
      </c>
      <c r="C9" s="38" t="s">
        <v>143</v>
      </c>
      <c r="D9" s="38" t="s">
        <v>141</v>
      </c>
      <c r="E9" s="38" t="s">
        <v>151</v>
      </c>
      <c r="F9" s="39" t="n">
        <v>60</v>
      </c>
      <c r="G9" s="40" t="n">
        <v>1200</v>
      </c>
      <c r="H9" s="41" t="n">
        <v>0</v>
      </c>
      <c r="I9" s="42" t="n">
        <f aca="false">F9*G9</f>
        <v>72000</v>
      </c>
      <c r="J9" s="42" t="n">
        <f aca="false">F9*H9</f>
        <v>0</v>
      </c>
      <c r="K9" s="43" t="n">
        <f aca="false">J9-I9</f>
        <v>-72000</v>
      </c>
      <c r="L9" s="44" t="n">
        <f aca="false">IF(I9=0,0,(J9-I9)/I9)</f>
        <v>-1</v>
      </c>
      <c r="M9" s="45" t="n">
        <f aca="false">IF(SUM(J$3:J$22)=0,0,J9/SUM(J$3:J$22))</f>
        <v>0</v>
      </c>
      <c r="N9" s="46" t="n">
        <v>1500</v>
      </c>
      <c r="O9" s="46" t="n">
        <v>1050</v>
      </c>
    </row>
    <row r="10" customFormat="false" ht="15" hidden="false" customHeight="false" outlineLevel="0" collapsed="false">
      <c r="B10" s="47" t="s">
        <v>40</v>
      </c>
      <c r="C10" s="28" t="s">
        <v>152</v>
      </c>
      <c r="D10" s="28" t="s">
        <v>141</v>
      </c>
      <c r="E10" s="28" t="s">
        <v>153</v>
      </c>
      <c r="F10" s="48" t="n">
        <v>300</v>
      </c>
      <c r="G10" s="49" t="n">
        <v>240</v>
      </c>
      <c r="H10" s="41" t="n">
        <v>0</v>
      </c>
      <c r="I10" s="26" t="n">
        <f aca="false">F10*G10</f>
        <v>72000</v>
      </c>
      <c r="J10" s="26" t="n">
        <f aca="false">F10*H10</f>
        <v>0</v>
      </c>
      <c r="K10" s="27" t="n">
        <f aca="false">J10-I10</f>
        <v>-72000</v>
      </c>
      <c r="L10" s="50" t="n">
        <f aca="false">IF(I10=0,0,(J10-I10)/I10)</f>
        <v>-1</v>
      </c>
      <c r="M10" s="51" t="n">
        <f aca="false">IF(SUM(J$3:J$22)=0,0,J10/SUM(J$3:J$22))</f>
        <v>0</v>
      </c>
      <c r="N10" s="25" t="n">
        <v>310</v>
      </c>
      <c r="O10" s="25" t="n">
        <v>200</v>
      </c>
    </row>
    <row r="11" customFormat="false" ht="15" hidden="false" customHeight="false" outlineLevel="0" collapsed="false">
      <c r="B11" s="37" t="s">
        <v>47</v>
      </c>
      <c r="C11" s="38" t="s">
        <v>154</v>
      </c>
      <c r="D11" s="38" t="s">
        <v>141</v>
      </c>
      <c r="E11" s="38" t="s">
        <v>155</v>
      </c>
      <c r="F11" s="39" t="n">
        <v>150</v>
      </c>
      <c r="G11" s="40" t="n">
        <v>245</v>
      </c>
      <c r="H11" s="41" t="n">
        <v>0</v>
      </c>
      <c r="I11" s="42" t="n">
        <f aca="false">F11*G11</f>
        <v>36750</v>
      </c>
      <c r="J11" s="42" t="n">
        <f aca="false">F11*H11</f>
        <v>0</v>
      </c>
      <c r="K11" s="43" t="n">
        <f aca="false">J11-I11</f>
        <v>-36750</v>
      </c>
      <c r="L11" s="44" t="n">
        <f aca="false">IF(I11=0,0,(J11-I11)/I11)</f>
        <v>-1</v>
      </c>
      <c r="M11" s="45" t="n">
        <f aca="false">IF(SUM(J$3:J$22)=0,0,J11/SUM(J$3:J$22))</f>
        <v>0</v>
      </c>
      <c r="N11" s="46" t="n">
        <v>295</v>
      </c>
      <c r="O11" s="46" t="n">
        <v>210</v>
      </c>
    </row>
    <row r="12" customFormat="false" ht="15" hidden="false" customHeight="false" outlineLevel="0" collapsed="false">
      <c r="B12" s="47" t="s">
        <v>55</v>
      </c>
      <c r="C12" s="28" t="s">
        <v>156</v>
      </c>
      <c r="D12" s="28" t="s">
        <v>141</v>
      </c>
      <c r="E12" s="28" t="s">
        <v>157</v>
      </c>
      <c r="F12" s="48" t="n">
        <v>30</v>
      </c>
      <c r="G12" s="49" t="n">
        <v>3200</v>
      </c>
      <c r="H12" s="41" t="n">
        <v>0</v>
      </c>
      <c r="I12" s="26" t="n">
        <f aca="false">F12*G12</f>
        <v>96000</v>
      </c>
      <c r="J12" s="26" t="n">
        <f aca="false">F12*H12</f>
        <v>0</v>
      </c>
      <c r="K12" s="27" t="n">
        <f aca="false">J12-I12</f>
        <v>-96000</v>
      </c>
      <c r="L12" s="50" t="n">
        <f aca="false">IF(I12=0,0,(J12-I12)/I12)</f>
        <v>-1</v>
      </c>
      <c r="M12" s="51" t="n">
        <f aca="false">IF(SUM(J$3:J$22)=0,0,J12/SUM(J$3:J$22))</f>
        <v>0</v>
      </c>
      <c r="N12" s="25" t="n">
        <v>3900</v>
      </c>
      <c r="O12" s="25" t="n">
        <v>2800</v>
      </c>
    </row>
    <row r="13" customFormat="false" ht="15" hidden="false" customHeight="false" outlineLevel="0" collapsed="false">
      <c r="B13" s="52" t="s">
        <v>158</v>
      </c>
      <c r="I13" s="53" t="n">
        <f aca="false">SUM(I3:I12)</f>
        <v>917500</v>
      </c>
      <c r="J13" s="53" t="n">
        <f aca="false">SUM(J3:J12)</f>
        <v>0</v>
      </c>
      <c r="K13" s="54" t="n">
        <f aca="false">SUM(K3:K12)</f>
        <v>-917500</v>
      </c>
      <c r="L13" s="55" t="n">
        <f aca="false">IF(I13=0,0,(J13-I13)/I13)</f>
        <v>-1</v>
      </c>
    </row>
    <row r="15" customFormat="false" ht="15" hidden="false" customHeight="false" outlineLevel="0" collapsed="false">
      <c r="B15" s="56" t="s">
        <v>159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</row>
  </sheetData>
  <mergeCells count="2">
    <mergeCell ref="B1:M1"/>
    <mergeCell ref="B15:M15"/>
  </mergeCells>
  <conditionalFormatting sqref="L3:L12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B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5" min="3" style="0" width="12"/>
    <col collapsed="false" customWidth="true" hidden="false" outlineLevel="0" max="8" min="6" style="0" width="14"/>
    <col collapsed="false" customWidth="true" hidden="false" outlineLevel="0" max="13" min="9" style="0" width="16"/>
  </cols>
  <sheetData>
    <row r="1" customFormat="false" ht="36" hidden="false" customHeight="true" outlineLevel="0" collapsed="false">
      <c r="B1" s="57" t="s">
        <v>160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customFormat="false" ht="15" hidden="false" customHeight="false" outlineLevel="0" collapsed="false">
      <c r="B2" s="58" t="s">
        <v>161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customFormat="false" ht="30" hidden="false" customHeight="true" outlineLevel="0" collapsed="false">
      <c r="B3" s="18" t="s">
        <v>60</v>
      </c>
      <c r="C3" s="18" t="s">
        <v>128</v>
      </c>
      <c r="D3" s="18" t="s">
        <v>162</v>
      </c>
      <c r="E3" s="18" t="s">
        <v>163</v>
      </c>
      <c r="F3" s="18" t="s">
        <v>164</v>
      </c>
      <c r="G3" s="18" t="s">
        <v>165</v>
      </c>
      <c r="H3" s="18" t="s">
        <v>77</v>
      </c>
      <c r="I3" s="18" t="s">
        <v>166</v>
      </c>
      <c r="J3" s="18" t="s">
        <v>167</v>
      </c>
      <c r="K3" s="18" t="s">
        <v>168</v>
      </c>
      <c r="L3" s="18" t="s">
        <v>169</v>
      </c>
      <c r="M3" s="18" t="s">
        <v>17</v>
      </c>
      <c r="N3" s="18" t="s">
        <v>170</v>
      </c>
    </row>
    <row r="4" customFormat="false" ht="24" hidden="false" customHeight="true" outlineLevel="0" collapsed="false">
      <c r="B4" s="59" t="s">
        <v>24</v>
      </c>
      <c r="C4" s="23" t="s">
        <v>143</v>
      </c>
      <c r="D4" s="23" t="s">
        <v>171</v>
      </c>
      <c r="E4" s="23" t="s">
        <v>121</v>
      </c>
      <c r="F4" s="23" t="s">
        <v>122</v>
      </c>
      <c r="G4" s="23" t="s">
        <v>84</v>
      </c>
      <c r="H4" s="23" t="s">
        <v>172</v>
      </c>
      <c r="I4" s="23" t="s">
        <v>173</v>
      </c>
      <c r="J4" s="23" t="s">
        <v>174</v>
      </c>
      <c r="K4" s="23" t="s">
        <v>42</v>
      </c>
      <c r="L4" s="23" t="s">
        <v>175</v>
      </c>
      <c r="M4" s="23" t="s">
        <v>25</v>
      </c>
      <c r="N4" s="60" t="s">
        <v>176</v>
      </c>
    </row>
    <row r="5" customFormat="false" ht="24" hidden="false" customHeight="true" outlineLevel="0" collapsed="false">
      <c r="B5" s="47" t="s">
        <v>32</v>
      </c>
      <c r="C5" s="28" t="s">
        <v>149</v>
      </c>
      <c r="D5" s="28" t="s">
        <v>177</v>
      </c>
      <c r="E5" s="28" t="s">
        <v>178</v>
      </c>
      <c r="F5" s="28" t="s">
        <v>34</v>
      </c>
      <c r="G5" s="28" t="s">
        <v>179</v>
      </c>
      <c r="H5" s="28" t="s">
        <v>180</v>
      </c>
      <c r="I5" s="28" t="s">
        <v>181</v>
      </c>
      <c r="J5" s="28" t="s">
        <v>182</v>
      </c>
      <c r="K5" s="28" t="s">
        <v>27</v>
      </c>
      <c r="L5" s="28" t="s">
        <v>183</v>
      </c>
      <c r="M5" s="28" t="s">
        <v>33</v>
      </c>
      <c r="N5" s="61" t="s">
        <v>184</v>
      </c>
    </row>
    <row r="6" customFormat="false" ht="24" hidden="false" customHeight="true" outlineLevel="0" collapsed="false">
      <c r="B6" s="59" t="s">
        <v>40</v>
      </c>
      <c r="C6" s="23" t="s">
        <v>152</v>
      </c>
      <c r="D6" s="23" t="s">
        <v>185</v>
      </c>
      <c r="E6" s="23" t="s">
        <v>186</v>
      </c>
      <c r="F6" s="23" t="s">
        <v>41</v>
      </c>
      <c r="G6" s="23" t="s">
        <v>187</v>
      </c>
      <c r="H6" s="23" t="s">
        <v>188</v>
      </c>
      <c r="I6" s="23" t="s">
        <v>189</v>
      </c>
      <c r="J6" s="23" t="s">
        <v>190</v>
      </c>
      <c r="K6" s="23" t="s">
        <v>35</v>
      </c>
      <c r="L6" s="23" t="s">
        <v>191</v>
      </c>
      <c r="M6" s="28" t="s">
        <v>33</v>
      </c>
      <c r="N6" s="60" t="s">
        <v>192</v>
      </c>
    </row>
    <row r="7" customFormat="false" ht="24" hidden="false" customHeight="true" outlineLevel="0" collapsed="false">
      <c r="B7" s="47" t="s">
        <v>47</v>
      </c>
      <c r="C7" s="28" t="s">
        <v>154</v>
      </c>
      <c r="D7" s="28" t="s">
        <v>193</v>
      </c>
      <c r="E7" s="28" t="s">
        <v>194</v>
      </c>
      <c r="F7" s="28" t="s">
        <v>49</v>
      </c>
      <c r="G7" s="28" t="s">
        <v>195</v>
      </c>
      <c r="H7" s="28" t="s">
        <v>196</v>
      </c>
      <c r="I7" s="28" t="s">
        <v>197</v>
      </c>
      <c r="J7" s="28" t="s">
        <v>198</v>
      </c>
      <c r="K7" s="28" t="s">
        <v>199</v>
      </c>
      <c r="L7" s="28" t="s">
        <v>200</v>
      </c>
      <c r="M7" s="28" t="s">
        <v>33</v>
      </c>
      <c r="N7" s="61" t="s">
        <v>201</v>
      </c>
    </row>
    <row r="8" customFormat="false" ht="24" hidden="false" customHeight="true" outlineLevel="0" collapsed="false">
      <c r="B8" s="59" t="s">
        <v>55</v>
      </c>
      <c r="C8" s="23" t="s">
        <v>156</v>
      </c>
      <c r="D8" s="23" t="s">
        <v>202</v>
      </c>
      <c r="E8" s="23" t="s">
        <v>203</v>
      </c>
      <c r="F8" s="23" t="s">
        <v>56</v>
      </c>
      <c r="G8" s="23" t="s">
        <v>204</v>
      </c>
      <c r="H8" s="23" t="s">
        <v>205</v>
      </c>
      <c r="I8" s="23" t="s">
        <v>206</v>
      </c>
      <c r="J8" s="23" t="s">
        <v>207</v>
      </c>
      <c r="K8" s="23" t="s">
        <v>57</v>
      </c>
      <c r="L8" s="23" t="s">
        <v>208</v>
      </c>
      <c r="M8" s="23" t="s">
        <v>25</v>
      </c>
      <c r="N8" s="60" t="s">
        <v>209</v>
      </c>
    </row>
    <row r="9" customFormat="false" ht="24" hidden="false" customHeight="true" outlineLevel="0" collapsed="false">
      <c r="B9" s="47" t="s">
        <v>20</v>
      </c>
      <c r="C9" s="28" t="s">
        <v>140</v>
      </c>
      <c r="D9" s="28" t="s">
        <v>210</v>
      </c>
      <c r="E9" s="28" t="s">
        <v>211</v>
      </c>
      <c r="F9" s="28" t="s">
        <v>205</v>
      </c>
      <c r="G9" s="28" t="s">
        <v>202</v>
      </c>
      <c r="H9" s="28" t="s">
        <v>212</v>
      </c>
      <c r="I9" s="28" t="s">
        <v>213</v>
      </c>
      <c r="J9" s="28" t="s">
        <v>214</v>
      </c>
      <c r="K9" s="28" t="s">
        <v>215</v>
      </c>
      <c r="L9" s="28" t="s">
        <v>216</v>
      </c>
      <c r="M9" s="28" t="s">
        <v>33</v>
      </c>
      <c r="N9" s="61" t="s">
        <v>217</v>
      </c>
    </row>
    <row r="10" customFormat="false" ht="24" hidden="false" customHeight="true" outlineLevel="0" collapsed="false">
      <c r="B10" s="59" t="s">
        <v>218</v>
      </c>
      <c r="C10" s="23" t="s">
        <v>146</v>
      </c>
      <c r="D10" s="23" t="s">
        <v>34</v>
      </c>
      <c r="E10" s="23" t="s">
        <v>219</v>
      </c>
      <c r="F10" s="23" t="s">
        <v>220</v>
      </c>
      <c r="G10" s="23" t="s">
        <v>221</v>
      </c>
      <c r="H10" s="23" t="s">
        <v>222</v>
      </c>
      <c r="I10" s="23" t="s">
        <v>223</v>
      </c>
      <c r="J10" s="23" t="s">
        <v>224</v>
      </c>
      <c r="K10" s="23" t="s">
        <v>225</v>
      </c>
      <c r="L10" s="23" t="s">
        <v>226</v>
      </c>
      <c r="M10" s="28" t="s">
        <v>33</v>
      </c>
      <c r="N10" s="60" t="s">
        <v>227</v>
      </c>
    </row>
    <row r="11" customFormat="false" ht="24" hidden="false" customHeight="true" outlineLevel="0" collapsed="false">
      <c r="B11" s="47" t="s">
        <v>228</v>
      </c>
      <c r="C11" s="28" t="s">
        <v>229</v>
      </c>
      <c r="D11" s="28" t="s">
        <v>230</v>
      </c>
      <c r="E11" s="28" t="s">
        <v>231</v>
      </c>
      <c r="F11" s="28" t="s">
        <v>232</v>
      </c>
      <c r="G11" s="28" t="s">
        <v>233</v>
      </c>
      <c r="H11" s="28" t="s">
        <v>234</v>
      </c>
      <c r="I11" s="28" t="s">
        <v>235</v>
      </c>
      <c r="J11" s="28" t="s">
        <v>236</v>
      </c>
      <c r="K11" s="28" t="s">
        <v>237</v>
      </c>
      <c r="L11" s="28" t="s">
        <v>238</v>
      </c>
      <c r="M11" s="28" t="s">
        <v>33</v>
      </c>
      <c r="N11" s="61" t="s">
        <v>239</v>
      </c>
    </row>
    <row r="12" customFormat="false" ht="24" hidden="false" customHeight="true" outlineLevel="0" collapsed="false">
      <c r="B12" s="59" t="s">
        <v>240</v>
      </c>
      <c r="C12" s="23" t="s">
        <v>241</v>
      </c>
      <c r="D12" s="23" t="s">
        <v>202</v>
      </c>
      <c r="E12" s="23" t="s">
        <v>203</v>
      </c>
      <c r="F12" s="23" t="s">
        <v>242</v>
      </c>
      <c r="G12" s="23" t="s">
        <v>243</v>
      </c>
      <c r="H12" s="23" t="s">
        <v>244</v>
      </c>
      <c r="I12" s="23" t="s">
        <v>245</v>
      </c>
      <c r="J12" s="23" t="s">
        <v>246</v>
      </c>
      <c r="K12" s="23" t="s">
        <v>57</v>
      </c>
      <c r="L12" s="23" t="s">
        <v>175</v>
      </c>
      <c r="M12" s="32" t="s">
        <v>48</v>
      </c>
      <c r="N12" s="60" t="s">
        <v>247</v>
      </c>
    </row>
    <row r="13" customFormat="false" ht="24" hidden="false" customHeight="true" outlineLevel="0" collapsed="false">
      <c r="B13" s="47" t="s">
        <v>248</v>
      </c>
      <c r="C13" s="28" t="s">
        <v>140</v>
      </c>
      <c r="D13" s="28" t="s">
        <v>249</v>
      </c>
      <c r="E13" s="28" t="s">
        <v>250</v>
      </c>
      <c r="F13" s="28" t="s">
        <v>109</v>
      </c>
      <c r="G13" s="28" t="s">
        <v>251</v>
      </c>
      <c r="H13" s="28" t="s">
        <v>252</v>
      </c>
      <c r="I13" s="28" t="s">
        <v>189</v>
      </c>
      <c r="J13" s="28" t="s">
        <v>253</v>
      </c>
      <c r="K13" s="28" t="s">
        <v>50</v>
      </c>
      <c r="L13" s="28" t="s">
        <v>254</v>
      </c>
      <c r="M13" s="28" t="s">
        <v>33</v>
      </c>
      <c r="N13" s="61" t="s">
        <v>255</v>
      </c>
    </row>
    <row r="15" customFormat="false" ht="15" hidden="false" customHeight="false" outlineLevel="0" collapsed="false">
      <c r="B15" s="62" t="s">
        <v>256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</row>
    <row r="16" customFormat="false" ht="19.5" hidden="false" customHeight="true" outlineLevel="0" collapsed="false">
      <c r="B16" s="63" t="s">
        <v>257</v>
      </c>
      <c r="C16" s="64" t="s">
        <v>258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</row>
    <row r="17" customFormat="false" ht="19.5" hidden="false" customHeight="true" outlineLevel="0" collapsed="false">
      <c r="B17" s="63" t="s">
        <v>259</v>
      </c>
      <c r="C17" s="65" t="s">
        <v>260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</row>
    <row r="18" customFormat="false" ht="19.5" hidden="false" customHeight="true" outlineLevel="0" collapsed="false">
      <c r="B18" s="63" t="s">
        <v>261</v>
      </c>
      <c r="C18" s="64" t="s">
        <v>262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</row>
    <row r="19" customFormat="false" ht="19.5" hidden="false" customHeight="true" outlineLevel="0" collapsed="false">
      <c r="B19" s="63" t="s">
        <v>263</v>
      </c>
      <c r="C19" s="65" t="s">
        <v>264</v>
      </c>
      <c r="D19" s="65"/>
      <c r="E19" s="65"/>
      <c r="F19" s="65"/>
      <c r="G19" s="65"/>
      <c r="H19" s="65"/>
      <c r="I19" s="65"/>
      <c r="J19" s="65"/>
      <c r="K19" s="65"/>
      <c r="L19" s="65"/>
      <c r="M19" s="65"/>
    </row>
    <row r="20" customFormat="false" ht="19.5" hidden="false" customHeight="true" outlineLevel="0" collapsed="false">
      <c r="B20" s="63" t="s">
        <v>265</v>
      </c>
      <c r="C20" s="64" t="s">
        <v>266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</row>
    <row r="21" customFormat="false" ht="19.5" hidden="false" customHeight="true" outlineLevel="0" collapsed="false">
      <c r="B21" s="63" t="s">
        <v>267</v>
      </c>
      <c r="C21" s="65" t="s">
        <v>268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2" customFormat="false" ht="19.5" hidden="false" customHeight="true" outlineLevel="0" collapsed="false">
      <c r="B22" s="63" t="s">
        <v>269</v>
      </c>
      <c r="C22" s="64" t="s">
        <v>270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</row>
  </sheetData>
  <mergeCells count="10">
    <mergeCell ref="B1:M1"/>
    <mergeCell ref="B2:M2"/>
    <mergeCell ref="B15:M15"/>
    <mergeCell ref="C16:M16"/>
    <mergeCell ref="C17:M17"/>
    <mergeCell ref="C18:M18"/>
    <mergeCell ref="C19:M19"/>
    <mergeCell ref="C20:M20"/>
    <mergeCell ref="C21:M21"/>
    <mergeCell ref="C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20"/>
  </cols>
  <sheetData>
    <row r="1" customFormat="false" ht="36" hidden="false" customHeight="true" outlineLevel="0" collapsed="false">
      <c r="B1" s="66" t="s">
        <v>271</v>
      </c>
      <c r="C1" s="66"/>
      <c r="D1" s="66"/>
      <c r="E1" s="66"/>
      <c r="F1" s="66"/>
      <c r="G1" s="66"/>
      <c r="H1" s="66"/>
      <c r="I1" s="66"/>
      <c r="J1" s="66"/>
      <c r="K1" s="66"/>
    </row>
    <row r="2" customFormat="false" ht="15.75" hidden="false" customHeight="true" outlineLevel="0" collapsed="false">
      <c r="B2" s="67" t="s">
        <v>272</v>
      </c>
      <c r="C2" s="67"/>
      <c r="D2" s="67"/>
      <c r="E2" s="67"/>
      <c r="F2" s="67"/>
      <c r="G2" s="67"/>
      <c r="H2" s="67"/>
      <c r="I2" s="67"/>
      <c r="J2" s="67"/>
      <c r="K2" s="67"/>
    </row>
    <row r="3" customFormat="false" ht="30" hidden="false" customHeight="true" outlineLevel="0" collapsed="false">
      <c r="B3" s="29" t="s">
        <v>60</v>
      </c>
      <c r="C3" s="29" t="s">
        <v>162</v>
      </c>
      <c r="D3" s="29" t="s">
        <v>273</v>
      </c>
      <c r="E3" s="29" t="s">
        <v>274</v>
      </c>
      <c r="F3" s="29" t="s">
        <v>275</v>
      </c>
      <c r="G3" s="29" t="s">
        <v>276</v>
      </c>
      <c r="H3" s="29" t="s">
        <v>277</v>
      </c>
      <c r="I3" s="29" t="s">
        <v>63</v>
      </c>
      <c r="J3" s="29" t="s">
        <v>278</v>
      </c>
      <c r="K3" s="29" t="s">
        <v>279</v>
      </c>
    </row>
    <row r="4" customFormat="false" ht="15" hidden="false" customHeight="false" outlineLevel="0" collapsed="false">
      <c r="B4" s="68" t="s">
        <v>280</v>
      </c>
      <c r="C4" s="69" t="n">
        <v>1620</v>
      </c>
      <c r="D4" s="69" t="n">
        <v>1800</v>
      </c>
      <c r="E4" s="70" t="n">
        <f aca="false">((D4-C4)/C4)</f>
        <v>0.111111111111111</v>
      </c>
      <c r="F4" s="71" t="s">
        <v>281</v>
      </c>
      <c r="G4" s="71" t="s">
        <v>282</v>
      </c>
      <c r="H4" s="71" t="s">
        <v>283</v>
      </c>
      <c r="I4" s="71" t="s">
        <v>284</v>
      </c>
      <c r="J4" s="70" t="n">
        <f aca="false">((D4-C4)/C4)</f>
        <v>0.111111111111111</v>
      </c>
      <c r="K4" s="72" t="s">
        <v>285</v>
      </c>
    </row>
    <row r="5" customFormat="false" ht="15" hidden="false" customHeight="false" outlineLevel="0" collapsed="false">
      <c r="B5" s="73" t="s">
        <v>36</v>
      </c>
      <c r="C5" s="49" t="n">
        <v>3600</v>
      </c>
      <c r="D5" s="49" t="n">
        <v>4200</v>
      </c>
      <c r="E5" s="74" t="n">
        <f aca="false">((D5-C5)/C5)</f>
        <v>0.166666666666667</v>
      </c>
      <c r="F5" s="75" t="s">
        <v>286</v>
      </c>
      <c r="G5" s="75" t="s">
        <v>42</v>
      </c>
      <c r="H5" s="75" t="s">
        <v>287</v>
      </c>
      <c r="I5" s="75" t="s">
        <v>284</v>
      </c>
      <c r="J5" s="74" t="n">
        <f aca="false">((D5-C5)/C5)</f>
        <v>0.166666666666667</v>
      </c>
      <c r="K5" s="34" t="s">
        <v>285</v>
      </c>
    </row>
    <row r="6" customFormat="false" ht="15" hidden="false" customHeight="false" outlineLevel="0" collapsed="false">
      <c r="B6" s="68" t="s">
        <v>51</v>
      </c>
      <c r="C6" s="69" t="n">
        <v>430</v>
      </c>
      <c r="D6" s="69" t="n">
        <v>500</v>
      </c>
      <c r="E6" s="70" t="n">
        <f aca="false">((D6-C6)/C6)</f>
        <v>0.162790697674419</v>
      </c>
      <c r="F6" s="71" t="s">
        <v>288</v>
      </c>
      <c r="G6" s="71" t="s">
        <v>289</v>
      </c>
      <c r="H6" s="71" t="s">
        <v>290</v>
      </c>
      <c r="I6" s="71" t="s">
        <v>284</v>
      </c>
      <c r="J6" s="70" t="n">
        <f aca="false">((D6-C6)/C6)</f>
        <v>0.162790697674419</v>
      </c>
      <c r="K6" s="72" t="s">
        <v>285</v>
      </c>
    </row>
    <row r="7" customFormat="false" ht="15" hidden="false" customHeight="false" outlineLevel="0" collapsed="false">
      <c r="B7" s="73" t="s">
        <v>79</v>
      </c>
      <c r="C7" s="49" t="n">
        <v>1185</v>
      </c>
      <c r="D7" s="49" t="n">
        <v>1500</v>
      </c>
      <c r="E7" s="74" t="n">
        <f aca="false">((D7-C7)/C7)</f>
        <v>0.265822784810127</v>
      </c>
      <c r="F7" s="75" t="s">
        <v>291</v>
      </c>
      <c r="G7" s="75" t="s">
        <v>57</v>
      </c>
      <c r="H7" s="75" t="s">
        <v>292</v>
      </c>
      <c r="I7" s="75" t="s">
        <v>293</v>
      </c>
      <c r="J7" s="74" t="n">
        <f aca="false">((D7-C7)/C7)</f>
        <v>0.265822784810127</v>
      </c>
      <c r="K7" s="76" t="s">
        <v>294</v>
      </c>
    </row>
    <row r="8" customFormat="false" ht="15" hidden="false" customHeight="false" outlineLevel="0" collapsed="false">
      <c r="B8" s="68" t="s">
        <v>295</v>
      </c>
      <c r="C8" s="69" t="n">
        <v>2100</v>
      </c>
      <c r="D8" s="69" t="n">
        <v>2600</v>
      </c>
      <c r="E8" s="70" t="n">
        <f aca="false">((D8-C8)/C8)</f>
        <v>0.238095238095238</v>
      </c>
      <c r="F8" s="71" t="s">
        <v>179</v>
      </c>
      <c r="G8" s="71" t="s">
        <v>296</v>
      </c>
      <c r="H8" s="71" t="s">
        <v>297</v>
      </c>
      <c r="I8" s="71" t="s">
        <v>293</v>
      </c>
      <c r="J8" s="70" t="n">
        <f aca="false">((D8-C8)/C8)</f>
        <v>0.238095238095238</v>
      </c>
      <c r="K8" s="77" t="s">
        <v>119</v>
      </c>
    </row>
    <row r="10" customFormat="false" ht="15" hidden="false" customHeight="false" outlineLevel="0" collapsed="false">
      <c r="B10" s="16" t="s">
        <v>298</v>
      </c>
      <c r="C10" s="16"/>
      <c r="D10" s="16"/>
      <c r="E10" s="16"/>
      <c r="F10" s="16"/>
      <c r="G10" s="16"/>
      <c r="H10" s="16"/>
      <c r="I10" s="16"/>
      <c r="J10" s="16"/>
      <c r="K10" s="16"/>
    </row>
    <row r="11" customFormat="false" ht="21.75" hidden="false" customHeight="true" outlineLevel="0" collapsed="false">
      <c r="B11" s="29" t="s">
        <v>299</v>
      </c>
      <c r="C11" s="78" t="s">
        <v>300</v>
      </c>
      <c r="D11" s="78"/>
      <c r="E11" s="78"/>
      <c r="F11" s="78"/>
      <c r="G11" s="78"/>
      <c r="H11" s="78"/>
      <c r="I11" s="78"/>
      <c r="J11" s="78"/>
      <c r="K11" s="78"/>
    </row>
    <row r="12" customFormat="false" ht="21.75" hidden="false" customHeight="true" outlineLevel="0" collapsed="false">
      <c r="B12" s="29" t="s">
        <v>301</v>
      </c>
      <c r="C12" s="65" t="s">
        <v>302</v>
      </c>
      <c r="D12" s="65"/>
      <c r="E12" s="65"/>
      <c r="F12" s="65"/>
      <c r="G12" s="65"/>
      <c r="H12" s="65"/>
      <c r="I12" s="65"/>
      <c r="J12" s="65"/>
      <c r="K12" s="65"/>
    </row>
    <row r="13" customFormat="false" ht="21.75" hidden="false" customHeight="true" outlineLevel="0" collapsed="false">
      <c r="B13" s="29" t="s">
        <v>303</v>
      </c>
      <c r="C13" s="78" t="s">
        <v>304</v>
      </c>
      <c r="D13" s="78"/>
      <c r="E13" s="78"/>
      <c r="F13" s="78"/>
      <c r="G13" s="78"/>
      <c r="H13" s="78"/>
      <c r="I13" s="78"/>
      <c r="J13" s="78"/>
      <c r="K13" s="78"/>
    </row>
    <row r="14" customFormat="false" ht="21.75" hidden="false" customHeight="true" outlineLevel="0" collapsed="false">
      <c r="B14" s="29" t="s">
        <v>305</v>
      </c>
      <c r="C14" s="65" t="s">
        <v>306</v>
      </c>
      <c r="D14" s="65"/>
      <c r="E14" s="65"/>
      <c r="F14" s="65"/>
      <c r="G14" s="65"/>
      <c r="H14" s="65"/>
      <c r="I14" s="65"/>
      <c r="J14" s="65"/>
      <c r="K14" s="65"/>
    </row>
    <row r="15" customFormat="false" ht="21.75" hidden="false" customHeight="true" outlineLevel="0" collapsed="false">
      <c r="B15" s="29" t="s">
        <v>307</v>
      </c>
      <c r="C15" s="78" t="s">
        <v>308</v>
      </c>
      <c r="D15" s="78"/>
      <c r="E15" s="78"/>
      <c r="F15" s="78"/>
      <c r="G15" s="78"/>
      <c r="H15" s="78"/>
      <c r="I15" s="78"/>
      <c r="J15" s="78"/>
      <c r="K15" s="78"/>
    </row>
    <row r="16" customFormat="false" ht="21.75" hidden="false" customHeight="true" outlineLevel="0" collapsed="false">
      <c r="B16" s="29" t="s">
        <v>309</v>
      </c>
      <c r="C16" s="65" t="s">
        <v>310</v>
      </c>
      <c r="D16" s="65"/>
      <c r="E16" s="65"/>
      <c r="F16" s="65"/>
      <c r="G16" s="65"/>
      <c r="H16" s="65"/>
      <c r="I16" s="65"/>
      <c r="J16" s="65"/>
      <c r="K16" s="65"/>
    </row>
    <row r="17" customFormat="false" ht="21.75" hidden="false" customHeight="true" outlineLevel="0" collapsed="false">
      <c r="B17" s="29" t="s">
        <v>311</v>
      </c>
      <c r="C17" s="78" t="s">
        <v>312</v>
      </c>
      <c r="D17" s="78"/>
      <c r="E17" s="78"/>
      <c r="F17" s="78"/>
      <c r="G17" s="78"/>
      <c r="H17" s="78"/>
      <c r="I17" s="78"/>
      <c r="J17" s="78"/>
      <c r="K17" s="78"/>
    </row>
    <row r="18" customFormat="false" ht="21.75" hidden="false" customHeight="true" outlineLevel="0" collapsed="false">
      <c r="B18" s="79" t="s">
        <v>313</v>
      </c>
      <c r="C18" s="65" t="s">
        <v>314</v>
      </c>
      <c r="D18" s="65"/>
      <c r="E18" s="65"/>
      <c r="F18" s="65"/>
      <c r="G18" s="65"/>
      <c r="H18" s="65"/>
      <c r="I18" s="65"/>
      <c r="J18" s="65"/>
      <c r="K18" s="65"/>
    </row>
  </sheetData>
  <mergeCells count="11">
    <mergeCell ref="B1:K1"/>
    <mergeCell ref="B2:K2"/>
    <mergeCell ref="B10:K10"/>
    <mergeCell ref="C11:K11"/>
    <mergeCell ref="C12:K12"/>
    <mergeCell ref="C13:K13"/>
    <mergeCell ref="C14:K14"/>
    <mergeCell ref="C15:K15"/>
    <mergeCell ref="C16:K16"/>
    <mergeCell ref="C17:K17"/>
    <mergeCell ref="C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B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10" min="4" style="0" width="14"/>
    <col collapsed="false" customWidth="true" hidden="false" outlineLevel="0" max="11" min="11" style="0" width="20"/>
  </cols>
  <sheetData>
    <row r="1" customFormat="false" ht="36" hidden="false" customHeight="true" outlineLevel="0" collapsed="false">
      <c r="B1" s="80" t="s">
        <v>315</v>
      </c>
      <c r="C1" s="80"/>
      <c r="D1" s="80"/>
      <c r="E1" s="80"/>
      <c r="F1" s="80"/>
      <c r="G1" s="80"/>
      <c r="H1" s="80"/>
      <c r="I1" s="80"/>
      <c r="J1" s="80"/>
      <c r="K1" s="80"/>
    </row>
    <row r="2" customFormat="false" ht="15" hidden="false" customHeight="false" outlineLevel="0" collapsed="false">
      <c r="B2" s="81" t="s">
        <v>316</v>
      </c>
      <c r="C2" s="81"/>
      <c r="D2" s="81"/>
      <c r="E2" s="81"/>
      <c r="F2" s="81"/>
      <c r="G2" s="81"/>
      <c r="H2" s="81"/>
      <c r="I2" s="81"/>
      <c r="J2" s="81"/>
      <c r="K2" s="81"/>
    </row>
    <row r="3" customFormat="false" ht="19.5" hidden="false" customHeight="true" outlineLevel="0" collapsed="false">
      <c r="D3" s="82" t="s">
        <v>317</v>
      </c>
      <c r="E3" s="82"/>
      <c r="F3" s="82"/>
      <c r="G3" s="83" t="s">
        <v>318</v>
      </c>
      <c r="H3" s="83"/>
      <c r="I3" s="83"/>
      <c r="J3" s="84" t="s">
        <v>319</v>
      </c>
      <c r="K3" s="84"/>
      <c r="L3" s="84"/>
    </row>
    <row r="4" customFormat="false" ht="30" hidden="false" customHeight="true" outlineLevel="0" collapsed="false">
      <c r="D4" s="85" t="s">
        <v>320</v>
      </c>
      <c r="E4" s="85"/>
      <c r="F4" s="85"/>
      <c r="G4" s="85" t="s">
        <v>321</v>
      </c>
      <c r="H4" s="85"/>
      <c r="I4" s="85"/>
      <c r="J4" s="85" t="s">
        <v>322</v>
      </c>
      <c r="K4" s="85"/>
      <c r="L4" s="85"/>
    </row>
    <row r="5" customFormat="false" ht="27.75" hidden="false" customHeight="true" outlineLevel="0" collapsed="false">
      <c r="B5" s="86" t="s">
        <v>11</v>
      </c>
      <c r="C5" s="86" t="s">
        <v>162</v>
      </c>
      <c r="D5" s="86" t="s">
        <v>323</v>
      </c>
      <c r="E5" s="86" t="s">
        <v>324</v>
      </c>
      <c r="F5" s="86" t="s">
        <v>12</v>
      </c>
      <c r="G5" s="86" t="s">
        <v>325</v>
      </c>
      <c r="H5" s="86" t="s">
        <v>77</v>
      </c>
      <c r="I5" s="86" t="s">
        <v>18</v>
      </c>
      <c r="J5" s="86" t="s">
        <v>326</v>
      </c>
      <c r="K5" s="86" t="s">
        <v>327</v>
      </c>
      <c r="L5" s="86" t="s">
        <v>328</v>
      </c>
    </row>
    <row r="6" customFormat="false" ht="19.5" hidden="false" customHeight="true" outlineLevel="0" collapsed="false">
      <c r="B6" s="87" t="s">
        <v>20</v>
      </c>
      <c r="C6" s="88" t="n">
        <v>2520</v>
      </c>
      <c r="D6" s="89" t="s">
        <v>317</v>
      </c>
      <c r="E6" s="88" t="n">
        <v>2300</v>
      </c>
      <c r="F6" s="90" t="n">
        <v>25</v>
      </c>
      <c r="G6" s="91" t="n">
        <f aca="false">E6*F6</f>
        <v>57500</v>
      </c>
      <c r="H6" s="88" t="n">
        <v>2150</v>
      </c>
      <c r="I6" s="88" t="n">
        <v>2800</v>
      </c>
      <c r="J6" s="92" t="n">
        <f aca="false">IF((E6-H6)=0,0,ROUND((I6-E6)/(E6-H6),1))</f>
        <v>3.3</v>
      </c>
      <c r="K6" s="90" t="s">
        <v>329</v>
      </c>
      <c r="L6" s="87" t="s">
        <v>330</v>
      </c>
    </row>
    <row r="7" customFormat="false" ht="19.5" hidden="false" customHeight="true" outlineLevel="0" collapsed="false">
      <c r="B7" s="73" t="s">
        <v>28</v>
      </c>
      <c r="C7" s="49" t="n">
        <v>1620</v>
      </c>
      <c r="D7" s="93" t="s">
        <v>331</v>
      </c>
      <c r="E7" s="49" t="n">
        <v>1530</v>
      </c>
      <c r="F7" s="75" t="n">
        <v>100</v>
      </c>
      <c r="G7" s="94" t="n">
        <f aca="false">E7*F7</f>
        <v>153000</v>
      </c>
      <c r="H7" s="49" t="n">
        <v>1530</v>
      </c>
      <c r="I7" s="49" t="n">
        <v>1850</v>
      </c>
      <c r="J7" s="95" t="n">
        <f aca="false">IF((E7-H7)=0,0,ROUND((I7-E7)/(E7-H7),1))</f>
        <v>0</v>
      </c>
      <c r="K7" s="75" t="s">
        <v>332</v>
      </c>
      <c r="L7" s="73" t="s">
        <v>333</v>
      </c>
    </row>
    <row r="8" customFormat="false" ht="19.5" hidden="false" customHeight="true" outlineLevel="0" collapsed="false">
      <c r="B8" s="87" t="s">
        <v>36</v>
      </c>
      <c r="C8" s="88" t="n">
        <v>3600</v>
      </c>
      <c r="D8" s="96" t="s">
        <v>319</v>
      </c>
      <c r="E8" s="88" t="n">
        <v>3900</v>
      </c>
      <c r="F8" s="90" t="n">
        <v>25</v>
      </c>
      <c r="G8" s="91" t="n">
        <f aca="false">E8*F8</f>
        <v>97500</v>
      </c>
      <c r="H8" s="88" t="n">
        <v>3300</v>
      </c>
      <c r="I8" s="88" t="n">
        <v>3900</v>
      </c>
      <c r="J8" s="92" t="n">
        <f aca="false">IF((E8-H8)=0,0,ROUND((I8-E8)/(E8-H8),1))</f>
        <v>0</v>
      </c>
      <c r="K8" s="90" t="s">
        <v>329</v>
      </c>
      <c r="L8" s="87" t="s">
        <v>334</v>
      </c>
    </row>
    <row r="9" customFormat="false" ht="19.5" hidden="false" customHeight="true" outlineLevel="0" collapsed="false">
      <c r="B9" s="73" t="s">
        <v>43</v>
      </c>
      <c r="C9" s="49" t="n">
        <v>1580</v>
      </c>
      <c r="D9" s="89" t="s">
        <v>317</v>
      </c>
      <c r="E9" s="49" t="n">
        <v>1480</v>
      </c>
      <c r="F9" s="75" t="n">
        <v>50</v>
      </c>
      <c r="G9" s="94" t="n">
        <f aca="false">E9*F9</f>
        <v>74000</v>
      </c>
      <c r="H9" s="49" t="n">
        <v>1380</v>
      </c>
      <c r="I9" s="49" t="n">
        <v>1800</v>
      </c>
      <c r="J9" s="95" t="n">
        <f aca="false">IF((E9-H9)=0,0,ROUND((I9-E9)/(E9-H9),1))</f>
        <v>3.2</v>
      </c>
      <c r="K9" s="75" t="s">
        <v>335</v>
      </c>
      <c r="L9" s="73" t="s">
        <v>336</v>
      </c>
    </row>
    <row r="10" customFormat="false" ht="19.5" hidden="false" customHeight="true" outlineLevel="0" collapsed="false">
      <c r="B10" s="87" t="s">
        <v>51</v>
      </c>
      <c r="C10" s="88" t="n">
        <v>430</v>
      </c>
      <c r="D10" s="89" t="s">
        <v>317</v>
      </c>
      <c r="E10" s="88" t="n">
        <v>400</v>
      </c>
      <c r="F10" s="90" t="n">
        <v>200</v>
      </c>
      <c r="G10" s="91" t="n">
        <f aca="false">E10*F10</f>
        <v>80000</v>
      </c>
      <c r="H10" s="88" t="n">
        <v>375</v>
      </c>
      <c r="I10" s="88" t="n">
        <v>500</v>
      </c>
      <c r="J10" s="92" t="n">
        <f aca="false">IF((E10-H10)=0,0,ROUND((I10-E10)/(E10-H10),1))</f>
        <v>4</v>
      </c>
      <c r="K10" s="90" t="s">
        <v>337</v>
      </c>
      <c r="L10" s="87" t="s">
        <v>338</v>
      </c>
    </row>
    <row r="11" customFormat="false" ht="19.5" hidden="false" customHeight="true" outlineLevel="0" collapsed="false">
      <c r="B11" s="73" t="s">
        <v>24</v>
      </c>
      <c r="C11" s="49" t="n">
        <v>1185</v>
      </c>
      <c r="D11" s="89" t="s">
        <v>317</v>
      </c>
      <c r="E11" s="49" t="n">
        <v>1120</v>
      </c>
      <c r="F11" s="75" t="n">
        <v>60</v>
      </c>
      <c r="G11" s="94" t="n">
        <f aca="false">E11*F11</f>
        <v>67200</v>
      </c>
      <c r="H11" s="49" t="n">
        <v>1050</v>
      </c>
      <c r="I11" s="49" t="n">
        <v>1400</v>
      </c>
      <c r="J11" s="95" t="n">
        <f aca="false">IF((E11-H11)=0,0,ROUND((I11-E11)/(E11-H11),1))</f>
        <v>4</v>
      </c>
      <c r="K11" s="75" t="s">
        <v>329</v>
      </c>
      <c r="L11" s="73" t="s">
        <v>339</v>
      </c>
    </row>
    <row r="12" customFormat="false" ht="19.5" hidden="false" customHeight="true" outlineLevel="0" collapsed="false">
      <c r="B12" s="87" t="s">
        <v>47</v>
      </c>
      <c r="C12" s="88" t="n">
        <v>245</v>
      </c>
      <c r="D12" s="89" t="s">
        <v>317</v>
      </c>
      <c r="E12" s="88" t="n">
        <v>225</v>
      </c>
      <c r="F12" s="90" t="n">
        <v>300</v>
      </c>
      <c r="G12" s="91" t="n">
        <f aca="false">E12*F12</f>
        <v>67500</v>
      </c>
      <c r="H12" s="88" t="n">
        <v>210</v>
      </c>
      <c r="I12" s="88" t="n">
        <v>275</v>
      </c>
      <c r="J12" s="92" t="n">
        <f aca="false">IF((E12-H12)=0,0,ROUND((I12-E12)/(E12-H12),1))</f>
        <v>3.3</v>
      </c>
      <c r="K12" s="90" t="s">
        <v>332</v>
      </c>
      <c r="L12" s="87" t="s">
        <v>340</v>
      </c>
    </row>
    <row r="13" customFormat="false" ht="19.5" hidden="false" customHeight="true" outlineLevel="0" collapsed="false">
      <c r="B13" s="73" t="s">
        <v>32</v>
      </c>
      <c r="C13" s="49" t="n">
        <v>925</v>
      </c>
      <c r="D13" s="96" t="s">
        <v>319</v>
      </c>
      <c r="E13" s="49" t="n">
        <v>1050</v>
      </c>
      <c r="F13" s="75" t="n">
        <v>80</v>
      </c>
      <c r="G13" s="94" t="n">
        <f aca="false">E13*F13</f>
        <v>84000</v>
      </c>
      <c r="H13" s="49" t="n">
        <v>850</v>
      </c>
      <c r="I13" s="49" t="n">
        <v>1050</v>
      </c>
      <c r="J13" s="95" t="n">
        <f aca="false">IF((E13-H13)=0,0,ROUND((I13-E13)/(E13-H13),1))</f>
        <v>0</v>
      </c>
      <c r="K13" s="75" t="s">
        <v>329</v>
      </c>
      <c r="L13" s="73" t="s">
        <v>341</v>
      </c>
    </row>
    <row r="15" customFormat="false" ht="15" hidden="false" customHeight="false" outlineLevel="0" collapsed="false">
      <c r="B15" s="16" t="s">
        <v>342</v>
      </c>
      <c r="C15" s="16"/>
      <c r="D15" s="16"/>
      <c r="E15" s="16"/>
      <c r="F15" s="16"/>
      <c r="G15" s="16"/>
      <c r="H15" s="16"/>
      <c r="I15" s="16"/>
      <c r="J15" s="16"/>
      <c r="K15" s="16"/>
    </row>
    <row r="16" customFormat="false" ht="18" hidden="false" customHeight="true" outlineLevel="0" collapsed="false">
      <c r="B16" s="97" t="s">
        <v>343</v>
      </c>
      <c r="C16" s="97"/>
      <c r="D16" s="97"/>
      <c r="E16" s="97"/>
      <c r="F16" s="97"/>
      <c r="G16" s="97"/>
      <c r="H16" s="97"/>
      <c r="I16" s="97"/>
      <c r="J16" s="97"/>
      <c r="K16" s="97"/>
    </row>
    <row r="17" customFormat="false" ht="18" hidden="false" customHeight="true" outlineLevel="0" collapsed="false">
      <c r="B17" s="97" t="s">
        <v>344</v>
      </c>
      <c r="C17" s="97"/>
      <c r="D17" s="97"/>
      <c r="E17" s="97"/>
      <c r="F17" s="97"/>
      <c r="G17" s="97"/>
      <c r="H17" s="97"/>
      <c r="I17" s="97"/>
      <c r="J17" s="97"/>
      <c r="K17" s="97"/>
    </row>
    <row r="18" customFormat="false" ht="18" hidden="false" customHeight="true" outlineLevel="0" collapsed="false">
      <c r="B18" s="97" t="s">
        <v>345</v>
      </c>
      <c r="C18" s="97"/>
      <c r="D18" s="97"/>
      <c r="E18" s="97"/>
      <c r="F18" s="97"/>
      <c r="G18" s="97"/>
      <c r="H18" s="97"/>
      <c r="I18" s="97"/>
      <c r="J18" s="97"/>
      <c r="K18" s="97"/>
    </row>
    <row r="19" customFormat="false" ht="18" hidden="false" customHeight="true" outlineLevel="0" collapsed="false">
      <c r="B19" s="97" t="s">
        <v>346</v>
      </c>
      <c r="C19" s="97"/>
      <c r="D19" s="97"/>
      <c r="E19" s="97"/>
      <c r="F19" s="97"/>
      <c r="G19" s="97"/>
      <c r="H19" s="97"/>
      <c r="I19" s="97"/>
      <c r="J19" s="97"/>
      <c r="K19" s="97"/>
    </row>
    <row r="20" customFormat="false" ht="18" hidden="false" customHeight="true" outlineLevel="0" collapsed="false">
      <c r="B20" s="97" t="s">
        <v>347</v>
      </c>
      <c r="C20" s="97"/>
      <c r="D20" s="97"/>
      <c r="E20" s="97"/>
      <c r="F20" s="97"/>
      <c r="G20" s="97"/>
      <c r="H20" s="97"/>
      <c r="I20" s="97"/>
      <c r="J20" s="97"/>
      <c r="K20" s="97"/>
    </row>
    <row r="21" customFormat="false" ht="18" hidden="false" customHeight="true" outlineLevel="0" collapsed="false">
      <c r="B21" s="98" t="s">
        <v>348</v>
      </c>
      <c r="C21" s="98"/>
      <c r="D21" s="98"/>
      <c r="E21" s="98"/>
      <c r="F21" s="98"/>
      <c r="G21" s="98"/>
      <c r="H21" s="98"/>
      <c r="I21" s="98"/>
      <c r="J21" s="98"/>
      <c r="K21" s="98"/>
    </row>
    <row r="22" customFormat="false" ht="18" hidden="false" customHeight="true" outlineLevel="0" collapsed="false">
      <c r="B22" s="98" t="s">
        <v>349</v>
      </c>
      <c r="C22" s="98"/>
      <c r="D22" s="98"/>
      <c r="E22" s="98"/>
      <c r="F22" s="98"/>
      <c r="G22" s="98"/>
      <c r="H22" s="98"/>
      <c r="I22" s="98"/>
      <c r="J22" s="98"/>
      <c r="K22" s="98"/>
    </row>
    <row r="23" customFormat="false" ht="18" hidden="false" customHeight="true" outlineLevel="0" collapsed="false">
      <c r="B23" s="99" t="s">
        <v>350</v>
      </c>
      <c r="C23" s="99"/>
      <c r="D23" s="99"/>
      <c r="E23" s="99"/>
      <c r="F23" s="99"/>
      <c r="G23" s="99"/>
      <c r="H23" s="99"/>
      <c r="I23" s="99"/>
      <c r="J23" s="99"/>
      <c r="K23" s="99"/>
    </row>
  </sheetData>
  <mergeCells count="17">
    <mergeCell ref="B1:K1"/>
    <mergeCell ref="B2:K2"/>
    <mergeCell ref="D3:F3"/>
    <mergeCell ref="G3:I3"/>
    <mergeCell ref="J3:L3"/>
    <mergeCell ref="D4:F4"/>
    <mergeCell ref="G4:I4"/>
    <mergeCell ref="J4:L4"/>
    <mergeCell ref="B15:K15"/>
    <mergeCell ref="B16:K16"/>
    <mergeCell ref="B17:K17"/>
    <mergeCell ref="B18:K18"/>
    <mergeCell ref="B19:K19"/>
    <mergeCell ref="B20:K20"/>
    <mergeCell ref="B21:K21"/>
    <mergeCell ref="B22:K22"/>
    <mergeCell ref="B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B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11" min="8" style="0" width="12"/>
    <col collapsed="false" customWidth="true" hidden="false" outlineLevel="0" max="13" min="12" style="0" width="16"/>
  </cols>
  <sheetData>
    <row r="1" customFormat="false" ht="36" hidden="false" customHeight="true" outlineLevel="0" collapsed="false">
      <c r="B1" s="100" t="s">
        <v>351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</row>
    <row r="2" customFormat="false" ht="15" hidden="false" customHeight="false" outlineLevel="0" collapsed="false">
      <c r="B2" s="101" t="s">
        <v>352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customFormat="false" ht="30" hidden="false" customHeight="true" outlineLevel="0" collapsed="false">
      <c r="B3" s="31" t="s">
        <v>11</v>
      </c>
      <c r="C3" s="31" t="s">
        <v>353</v>
      </c>
      <c r="D3" s="31" t="s">
        <v>354</v>
      </c>
      <c r="E3" s="31" t="s">
        <v>355</v>
      </c>
      <c r="F3" s="31" t="s">
        <v>356</v>
      </c>
      <c r="G3" s="31" t="s">
        <v>357</v>
      </c>
      <c r="H3" s="31" t="s">
        <v>358</v>
      </c>
      <c r="I3" s="31" t="s">
        <v>326</v>
      </c>
      <c r="J3" s="31" t="s">
        <v>97</v>
      </c>
      <c r="K3" s="31" t="s">
        <v>359</v>
      </c>
      <c r="L3" s="31" t="s">
        <v>360</v>
      </c>
      <c r="M3" s="31" t="s">
        <v>361</v>
      </c>
      <c r="N3" s="31" t="s">
        <v>63</v>
      </c>
    </row>
    <row r="4" customFormat="false" ht="19.5" hidden="false" customHeight="true" outlineLevel="0" collapsed="false">
      <c r="B4" s="102" t="s">
        <v>28</v>
      </c>
      <c r="C4" s="103" t="s">
        <v>362</v>
      </c>
      <c r="D4" s="104" t="n">
        <v>1600</v>
      </c>
      <c r="E4" s="104" t="n">
        <v>1720</v>
      </c>
      <c r="F4" s="104" t="n">
        <v>1780</v>
      </c>
      <c r="G4" s="104" t="n">
        <v>1550</v>
      </c>
      <c r="H4" s="103" t="s">
        <v>103</v>
      </c>
      <c r="I4" s="105" t="n">
        <f aca="false">IFERROR(ROUND((E4-D4)/(D4-G4),1),0)</f>
        <v>2.4</v>
      </c>
      <c r="J4" s="103" t="s">
        <v>363</v>
      </c>
      <c r="K4" s="106" t="n">
        <v>50000</v>
      </c>
      <c r="L4" s="107" t="n">
        <f aca="false">IFERROR(ROUND((E4-D4)/D4*K4,0),0)</f>
        <v>3750</v>
      </c>
      <c r="M4" s="107" t="n">
        <f aca="false">IFERROR(ROUND((F4-D4)/D4*K4,0),0)</f>
        <v>5625</v>
      </c>
      <c r="N4" s="108" t="s">
        <v>364</v>
      </c>
    </row>
    <row r="5" customFormat="false" ht="19.5" hidden="false" customHeight="true" outlineLevel="0" collapsed="false">
      <c r="B5" s="73" t="s">
        <v>51</v>
      </c>
      <c r="C5" s="75" t="s">
        <v>120</v>
      </c>
      <c r="D5" s="49" t="n">
        <v>425</v>
      </c>
      <c r="E5" s="49" t="n">
        <v>470</v>
      </c>
      <c r="F5" s="49" t="n">
        <v>495</v>
      </c>
      <c r="G5" s="49" t="n">
        <v>405</v>
      </c>
      <c r="H5" s="75" t="s">
        <v>111</v>
      </c>
      <c r="I5" s="95" t="n">
        <f aca="false">IFERROR(ROUND((E5-D5)/(D5-G5),1),0)</f>
        <v>2.3</v>
      </c>
      <c r="J5" s="75" t="s">
        <v>363</v>
      </c>
      <c r="K5" s="106" t="n">
        <v>40000</v>
      </c>
      <c r="L5" s="107" t="n">
        <f aca="false">IFERROR(ROUND((E5-D5)/D5*K5,0),0)</f>
        <v>4235</v>
      </c>
      <c r="M5" s="107" t="n">
        <f aca="false">IFERROR(ROUND((F5-D5)/D5*K5,0),0)</f>
        <v>6588</v>
      </c>
      <c r="N5" s="108" t="s">
        <v>364</v>
      </c>
    </row>
    <row r="6" customFormat="false" ht="19.5" hidden="false" customHeight="true" outlineLevel="0" collapsed="false">
      <c r="B6" s="102" t="s">
        <v>79</v>
      </c>
      <c r="C6" s="103" t="s">
        <v>365</v>
      </c>
      <c r="D6" s="104" t="n">
        <v>1150</v>
      </c>
      <c r="E6" s="104" t="n">
        <v>1300</v>
      </c>
      <c r="F6" s="104" t="n">
        <v>1380</v>
      </c>
      <c r="G6" s="104" t="n">
        <v>1100</v>
      </c>
      <c r="H6" s="103" t="s">
        <v>125</v>
      </c>
      <c r="I6" s="105" t="n">
        <f aca="false">IFERROR(ROUND((E6-D6)/(D6-G6),1),0)</f>
        <v>3</v>
      </c>
      <c r="J6" s="103" t="s">
        <v>363</v>
      </c>
      <c r="K6" s="106" t="n">
        <v>60000</v>
      </c>
      <c r="L6" s="107" t="n">
        <f aca="false">IFERROR(ROUND((E6-D6)/D6*K6,0),0)</f>
        <v>7826</v>
      </c>
      <c r="M6" s="107" t="n">
        <f aca="false">IFERROR(ROUND((F6-D6)/D6*K6,0),0)</f>
        <v>12000</v>
      </c>
      <c r="N6" s="109" t="s">
        <v>366</v>
      </c>
    </row>
    <row r="7" customFormat="false" ht="19.5" hidden="false" customHeight="true" outlineLevel="0" collapsed="false">
      <c r="B7" s="73" t="s">
        <v>36</v>
      </c>
      <c r="C7" s="75" t="s">
        <v>367</v>
      </c>
      <c r="D7" s="49" t="n">
        <v>3550</v>
      </c>
      <c r="E7" s="49" t="n">
        <v>3800</v>
      </c>
      <c r="F7" s="49" t="n">
        <v>3900</v>
      </c>
      <c r="G7" s="49" t="n">
        <v>3400</v>
      </c>
      <c r="H7" s="75" t="s">
        <v>117</v>
      </c>
      <c r="I7" s="95" t="n">
        <f aca="false">IFERROR(ROUND((E7-D7)/(D7-G7),1),0)</f>
        <v>1.7</v>
      </c>
      <c r="J7" s="75" t="s">
        <v>368</v>
      </c>
      <c r="K7" s="106" t="n">
        <v>80000</v>
      </c>
      <c r="L7" s="107" t="n">
        <f aca="false">IFERROR(ROUND((E7-D7)/D7*K7,0),0)</f>
        <v>5634</v>
      </c>
      <c r="M7" s="107" t="n">
        <f aca="false">IFERROR(ROUND((F7-D7)/D7*K7,0),0)</f>
        <v>7887</v>
      </c>
      <c r="N7" s="109" t="s">
        <v>366</v>
      </c>
    </row>
    <row r="8" customFormat="false" ht="19.5" hidden="false" customHeight="true" outlineLevel="0" collapsed="false">
      <c r="B8" s="102" t="s">
        <v>295</v>
      </c>
      <c r="C8" s="103" t="s">
        <v>369</v>
      </c>
      <c r="D8" s="104" t="n">
        <v>2050</v>
      </c>
      <c r="E8" s="104" t="n">
        <v>2300</v>
      </c>
      <c r="F8" s="104" t="n">
        <v>2500</v>
      </c>
      <c r="G8" s="104" t="n">
        <v>1950</v>
      </c>
      <c r="H8" s="103" t="s">
        <v>370</v>
      </c>
      <c r="I8" s="105" t="n">
        <f aca="false">IFERROR(ROUND((E8-D8)/(D8-G8),1),0)</f>
        <v>2.5</v>
      </c>
      <c r="J8" s="103" t="s">
        <v>368</v>
      </c>
      <c r="K8" s="106" t="n">
        <v>50000</v>
      </c>
      <c r="L8" s="107" t="n">
        <f aca="false">IFERROR(ROUND((E8-D8)/D8*K8,0),0)</f>
        <v>6098</v>
      </c>
      <c r="M8" s="107" t="n">
        <f aca="false">IFERROR(ROUND((F8-D8)/D8*K8,0),0)</f>
        <v>10976</v>
      </c>
      <c r="N8" s="109" t="s">
        <v>366</v>
      </c>
    </row>
    <row r="9" customFormat="false" ht="19.5" hidden="false" customHeight="true" outlineLevel="0" collapsed="false">
      <c r="B9" s="73" t="s">
        <v>228</v>
      </c>
      <c r="C9" s="75" t="s">
        <v>371</v>
      </c>
      <c r="D9" s="49" t="n">
        <v>6600</v>
      </c>
      <c r="E9" s="49" t="n">
        <v>7200</v>
      </c>
      <c r="F9" s="49" t="n">
        <v>7600</v>
      </c>
      <c r="G9" s="49" t="n">
        <v>6200</v>
      </c>
      <c r="H9" s="75" t="s">
        <v>372</v>
      </c>
      <c r="I9" s="95" t="n">
        <f aca="false">IFERROR(ROUND((E9-D9)/(D9-G9),1),0)</f>
        <v>1.5</v>
      </c>
      <c r="J9" s="75" t="s">
        <v>368</v>
      </c>
      <c r="K9" s="106" t="n">
        <v>100000</v>
      </c>
      <c r="L9" s="107" t="n">
        <f aca="false">IFERROR(ROUND((E9-D9)/D9*K9,0),0)</f>
        <v>9091</v>
      </c>
      <c r="M9" s="107" t="n">
        <f aca="false">IFERROR(ROUND((F9-D9)/D9*K9,0),0)</f>
        <v>15152</v>
      </c>
      <c r="N9" s="110" t="s">
        <v>373</v>
      </c>
    </row>
    <row r="10" customFormat="false" ht="19.5" hidden="false" customHeight="true" outlineLevel="0" collapsed="false">
      <c r="B10" s="102" t="s">
        <v>43</v>
      </c>
      <c r="C10" s="103" t="s">
        <v>374</v>
      </c>
      <c r="D10" s="104" t="n">
        <v>1500</v>
      </c>
      <c r="E10" s="104" t="n">
        <v>1650</v>
      </c>
      <c r="F10" s="104" t="n">
        <v>1720</v>
      </c>
      <c r="G10" s="104" t="n">
        <v>1440</v>
      </c>
      <c r="H10" s="103" t="s">
        <v>125</v>
      </c>
      <c r="I10" s="105" t="n">
        <f aca="false">IFERROR(ROUND((E10-D10)/(D10-G10),1),0)</f>
        <v>2.5</v>
      </c>
      <c r="J10" s="103" t="s">
        <v>363</v>
      </c>
      <c r="K10" s="106" t="n">
        <v>75000</v>
      </c>
      <c r="L10" s="107" t="n">
        <f aca="false">IFERROR(ROUND((E10-D10)/D10*K10,0),0)</f>
        <v>7500</v>
      </c>
      <c r="M10" s="107" t="n">
        <f aca="false">IFERROR(ROUND((F10-D10)/D10*K10,0),0)</f>
        <v>11000</v>
      </c>
      <c r="N10" s="110" t="s">
        <v>373</v>
      </c>
    </row>
    <row r="11" customFormat="false" ht="19.5" hidden="false" customHeight="true" outlineLevel="0" collapsed="false">
      <c r="B11" s="73" t="s">
        <v>32</v>
      </c>
      <c r="C11" s="75" t="s">
        <v>375</v>
      </c>
      <c r="D11" s="49" t="n">
        <v>920</v>
      </c>
      <c r="E11" s="49" t="n">
        <v>1020</v>
      </c>
      <c r="F11" s="49" t="n">
        <v>1080</v>
      </c>
      <c r="G11" s="49" t="n">
        <v>880</v>
      </c>
      <c r="H11" s="75" t="s">
        <v>111</v>
      </c>
      <c r="I11" s="95" t="n">
        <f aca="false">IFERROR(ROUND((E11-D11)/(D11-G11),1),0)</f>
        <v>2.5</v>
      </c>
      <c r="J11" s="75" t="s">
        <v>368</v>
      </c>
      <c r="K11" s="106" t="n">
        <v>45000</v>
      </c>
      <c r="L11" s="107" t="n">
        <f aca="false">IFERROR(ROUND((E11-D11)/D11*K11,0),0)</f>
        <v>4891</v>
      </c>
      <c r="M11" s="107" t="n">
        <f aca="false">IFERROR(ROUND((F11-D11)/D11*K11,0),0)</f>
        <v>7826</v>
      </c>
      <c r="N11" s="110" t="s">
        <v>373</v>
      </c>
    </row>
    <row r="13" customFormat="false" ht="15" hidden="false" customHeight="false" outlineLevel="0" collapsed="false">
      <c r="B13" s="16" t="s">
        <v>376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customFormat="false" ht="21.75" hidden="false" customHeight="true" outlineLevel="0" collapsed="false">
      <c r="B14" s="31" t="s">
        <v>377</v>
      </c>
      <c r="C14" s="111" t="s">
        <v>378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</row>
    <row r="15" customFormat="false" ht="21.75" hidden="false" customHeight="true" outlineLevel="0" collapsed="false">
      <c r="B15" s="86" t="s">
        <v>379</v>
      </c>
      <c r="C15" s="65" t="s">
        <v>380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</row>
    <row r="16" customFormat="false" ht="21.75" hidden="false" customHeight="true" outlineLevel="0" collapsed="false">
      <c r="B16" s="31" t="s">
        <v>381</v>
      </c>
      <c r="C16" s="111" t="s">
        <v>382</v>
      </c>
      <c r="D16" s="111"/>
      <c r="E16" s="111"/>
      <c r="F16" s="111"/>
      <c r="G16" s="111"/>
      <c r="H16" s="111"/>
      <c r="I16" s="111"/>
      <c r="J16" s="111"/>
      <c r="K16" s="111"/>
      <c r="L16" s="111"/>
      <c r="M16" s="111"/>
    </row>
    <row r="17" customFormat="false" ht="21.75" hidden="false" customHeight="true" outlineLevel="0" collapsed="false">
      <c r="B17" s="86" t="s">
        <v>383</v>
      </c>
      <c r="C17" s="65" t="s">
        <v>384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</row>
    <row r="18" customFormat="false" ht="21.75" hidden="false" customHeight="true" outlineLevel="0" collapsed="false">
      <c r="B18" s="31" t="s">
        <v>385</v>
      </c>
      <c r="C18" s="111" t="s">
        <v>386</v>
      </c>
      <c r="D18" s="111"/>
      <c r="E18" s="111"/>
      <c r="F18" s="111"/>
      <c r="G18" s="111"/>
      <c r="H18" s="111"/>
      <c r="I18" s="111"/>
      <c r="J18" s="111"/>
      <c r="K18" s="111"/>
      <c r="L18" s="111"/>
      <c r="M18" s="111"/>
    </row>
    <row r="19" customFormat="false" ht="21.75" hidden="false" customHeight="true" outlineLevel="0" collapsed="false">
      <c r="B19" s="86" t="s">
        <v>387</v>
      </c>
      <c r="C19" s="65" t="s">
        <v>388</v>
      </c>
      <c r="D19" s="65"/>
      <c r="E19" s="65"/>
      <c r="F19" s="65"/>
      <c r="G19" s="65"/>
      <c r="H19" s="65"/>
      <c r="I19" s="65"/>
      <c r="J19" s="65"/>
      <c r="K19" s="65"/>
      <c r="L19" s="65"/>
      <c r="M19" s="65"/>
    </row>
    <row r="20" customFormat="false" ht="21.75" hidden="false" customHeight="true" outlineLevel="0" collapsed="false">
      <c r="B20" s="31" t="s">
        <v>389</v>
      </c>
      <c r="C20" s="111" t="s">
        <v>390</v>
      </c>
      <c r="D20" s="111"/>
      <c r="E20" s="111"/>
      <c r="F20" s="111"/>
      <c r="G20" s="111"/>
      <c r="H20" s="111"/>
      <c r="I20" s="111"/>
      <c r="J20" s="111"/>
      <c r="K20" s="111"/>
      <c r="L20" s="111"/>
      <c r="M20" s="111"/>
    </row>
    <row r="21" customFormat="false" ht="21.75" hidden="false" customHeight="true" outlineLevel="0" collapsed="false">
      <c r="B21" s="86" t="s">
        <v>391</v>
      </c>
      <c r="C21" s="65" t="s">
        <v>392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</row>
  </sheetData>
  <mergeCells count="11">
    <mergeCell ref="B1:M1"/>
    <mergeCell ref="B2:M2"/>
    <mergeCell ref="B13:M13"/>
    <mergeCell ref="C14:M14"/>
    <mergeCell ref="C15:M15"/>
    <mergeCell ref="C16:M16"/>
    <mergeCell ref="C17:M17"/>
    <mergeCell ref="C18:M18"/>
    <mergeCell ref="C19:M19"/>
    <mergeCell ref="C20:M20"/>
    <mergeCell ref="C21:M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9" min="3" style="0" width="12"/>
  </cols>
  <sheetData>
    <row r="1" customFormat="false" ht="36" hidden="false" customHeight="true" outlineLevel="0" collapsed="false">
      <c r="B1" s="80" t="s">
        <v>393</v>
      </c>
      <c r="C1" s="80"/>
      <c r="D1" s="80"/>
      <c r="E1" s="80"/>
      <c r="F1" s="80"/>
      <c r="G1" s="80"/>
      <c r="H1" s="80"/>
      <c r="I1" s="80"/>
    </row>
    <row r="2" customFormat="false" ht="15" hidden="false" customHeight="false" outlineLevel="0" collapsed="false">
      <c r="B2" s="16" t="s">
        <v>394</v>
      </c>
      <c r="C2" s="16"/>
      <c r="D2" s="16"/>
      <c r="E2" s="16"/>
      <c r="F2" s="16"/>
      <c r="G2" s="16"/>
      <c r="H2" s="16"/>
      <c r="I2" s="16" t="s">
        <v>395</v>
      </c>
      <c r="J2" s="16"/>
    </row>
    <row r="3" customFormat="false" ht="15" hidden="false" customHeight="false" outlineLevel="0" collapsed="false">
      <c r="B3" s="17" t="s">
        <v>128</v>
      </c>
      <c r="C3" s="17" t="s">
        <v>396</v>
      </c>
      <c r="D3" s="17" t="s">
        <v>134</v>
      </c>
      <c r="E3" s="17" t="s">
        <v>135</v>
      </c>
      <c r="F3" s="17" t="s">
        <v>397</v>
      </c>
      <c r="I3" s="17" t="s">
        <v>398</v>
      </c>
      <c r="J3" s="17" t="s">
        <v>135</v>
      </c>
    </row>
    <row r="4" customFormat="false" ht="15" hidden="false" customHeight="false" outlineLevel="0" collapsed="false">
      <c r="B4" s="38" t="s">
        <v>143</v>
      </c>
      <c r="C4" s="38" t="s">
        <v>399</v>
      </c>
      <c r="D4" s="38" t="s">
        <v>400</v>
      </c>
      <c r="E4" s="38" t="s">
        <v>401</v>
      </c>
      <c r="F4" s="38" t="s">
        <v>402</v>
      </c>
      <c r="I4" s="38" t="s">
        <v>403</v>
      </c>
      <c r="J4" s="112" t="n">
        <v>8500</v>
      </c>
    </row>
    <row r="5" customFormat="false" ht="15" hidden="false" customHeight="false" outlineLevel="0" collapsed="false">
      <c r="B5" s="28" t="s">
        <v>146</v>
      </c>
      <c r="C5" s="28" t="s">
        <v>404</v>
      </c>
      <c r="D5" s="28" t="s">
        <v>405</v>
      </c>
      <c r="E5" s="28" t="s">
        <v>406</v>
      </c>
      <c r="F5" s="28" t="s">
        <v>35</v>
      </c>
      <c r="I5" s="28" t="s">
        <v>407</v>
      </c>
      <c r="J5" s="113" t="n">
        <v>12000</v>
      </c>
    </row>
    <row r="6" customFormat="false" ht="15" hidden="false" customHeight="false" outlineLevel="0" collapsed="false">
      <c r="B6" s="38" t="s">
        <v>140</v>
      </c>
      <c r="C6" s="38" t="s">
        <v>408</v>
      </c>
      <c r="D6" s="38" t="s">
        <v>409</v>
      </c>
      <c r="E6" s="38" t="s">
        <v>410</v>
      </c>
      <c r="F6" s="38" t="s">
        <v>50</v>
      </c>
      <c r="I6" s="38" t="s">
        <v>411</v>
      </c>
      <c r="J6" s="114" t="n">
        <v>-3200</v>
      </c>
    </row>
    <row r="7" customFormat="false" ht="15" hidden="false" customHeight="false" outlineLevel="0" collapsed="false">
      <c r="B7" s="28" t="s">
        <v>149</v>
      </c>
      <c r="C7" s="28" t="s">
        <v>412</v>
      </c>
      <c r="D7" s="28" t="s">
        <v>413</v>
      </c>
      <c r="E7" s="28" t="s">
        <v>414</v>
      </c>
      <c r="F7" s="28" t="s">
        <v>415</v>
      </c>
      <c r="I7" s="28" t="s">
        <v>416</v>
      </c>
      <c r="J7" s="113" t="n">
        <v>15000</v>
      </c>
    </row>
    <row r="8" customFormat="false" ht="15" hidden="false" customHeight="false" outlineLevel="0" collapsed="false">
      <c r="B8" s="38" t="s">
        <v>156</v>
      </c>
      <c r="C8" s="38" t="s">
        <v>417</v>
      </c>
      <c r="D8" s="38" t="s">
        <v>418</v>
      </c>
      <c r="E8" s="38" t="s">
        <v>419</v>
      </c>
      <c r="F8" s="38" t="s">
        <v>50</v>
      </c>
      <c r="I8" s="38" t="s">
        <v>420</v>
      </c>
      <c r="J8" s="112" t="n">
        <v>9800</v>
      </c>
    </row>
    <row r="9" customFormat="false" ht="15" hidden="false" customHeight="false" outlineLevel="0" collapsed="false">
      <c r="B9" s="28" t="s">
        <v>152</v>
      </c>
      <c r="C9" s="28" t="s">
        <v>412</v>
      </c>
      <c r="D9" s="28" t="s">
        <v>421</v>
      </c>
      <c r="E9" s="28" t="s">
        <v>410</v>
      </c>
      <c r="F9" s="28" t="s">
        <v>199</v>
      </c>
      <c r="I9" s="28" t="s">
        <v>422</v>
      </c>
      <c r="J9" s="113" t="n">
        <v>18000</v>
      </c>
    </row>
    <row r="10" customFormat="false" ht="15" hidden="false" customHeight="false" outlineLevel="0" collapsed="false">
      <c r="B10" s="38" t="s">
        <v>154</v>
      </c>
      <c r="C10" s="38" t="s">
        <v>423</v>
      </c>
      <c r="D10" s="38" t="s">
        <v>424</v>
      </c>
      <c r="E10" s="38" t="s">
        <v>425</v>
      </c>
      <c r="F10" s="38" t="s">
        <v>426</v>
      </c>
      <c r="I10" s="38" t="s">
        <v>427</v>
      </c>
      <c r="J10" s="114" t="n">
        <v>-5000</v>
      </c>
    </row>
    <row r="11" customFormat="false" ht="15" hidden="false" customHeight="false" outlineLevel="0" collapsed="false">
      <c r="B11" s="28" t="s">
        <v>229</v>
      </c>
      <c r="C11" s="28" t="s">
        <v>428</v>
      </c>
      <c r="D11" s="28" t="s">
        <v>429</v>
      </c>
      <c r="E11" s="28" t="s">
        <v>430</v>
      </c>
      <c r="F11" s="28" t="s">
        <v>431</v>
      </c>
      <c r="I11" s="28" t="s">
        <v>432</v>
      </c>
      <c r="J11" s="113" t="n">
        <v>22000</v>
      </c>
    </row>
    <row r="12" customFormat="false" ht="15" hidden="false" customHeight="false" outlineLevel="0" collapsed="false">
      <c r="I12" s="38" t="s">
        <v>433</v>
      </c>
      <c r="J12" s="112" t="n">
        <v>14000</v>
      </c>
    </row>
    <row r="13" customFormat="false" ht="15" hidden="false" customHeight="false" outlineLevel="0" collapsed="false">
      <c r="I13" s="28" t="s">
        <v>434</v>
      </c>
      <c r="J13" s="113" t="n">
        <v>19000</v>
      </c>
    </row>
    <row r="14" customFormat="false" ht="15" hidden="false" customHeight="false" outlineLevel="0" collapsed="false">
      <c r="I14" s="38" t="s">
        <v>435</v>
      </c>
      <c r="J14" s="112" t="n">
        <v>7500</v>
      </c>
    </row>
    <row r="15" customFormat="false" ht="15" hidden="false" customHeight="false" outlineLevel="0" collapsed="false">
      <c r="I15" s="28" t="s">
        <v>436</v>
      </c>
      <c r="J15" s="113" t="n">
        <v>25000</v>
      </c>
    </row>
    <row r="32" customFormat="false" ht="15" hidden="false" customHeight="false" outlineLevel="0" collapsed="false">
      <c r="B32" s="16" t="s">
        <v>437</v>
      </c>
      <c r="C32" s="16"/>
      <c r="D32" s="16"/>
      <c r="E32" s="16"/>
      <c r="F32" s="16"/>
      <c r="G32" s="16"/>
      <c r="H32" s="16"/>
      <c r="I32" s="16"/>
    </row>
    <row r="33" customFormat="false" ht="15" hidden="false" customHeight="false" outlineLevel="0" collapsed="false">
      <c r="B33" s="79" t="s">
        <v>438</v>
      </c>
      <c r="C33" s="79" t="s">
        <v>439</v>
      </c>
      <c r="D33" s="79" t="s">
        <v>440</v>
      </c>
      <c r="E33" s="79" t="s">
        <v>63</v>
      </c>
      <c r="F33" s="79" t="s">
        <v>441</v>
      </c>
    </row>
    <row r="34" customFormat="false" ht="18" hidden="false" customHeight="true" outlineLevel="0" collapsed="false">
      <c r="B34" s="59" t="s">
        <v>442</v>
      </c>
      <c r="C34" s="23" t="s">
        <v>443</v>
      </c>
      <c r="D34" s="23" t="s">
        <v>444</v>
      </c>
      <c r="E34" s="23" t="s">
        <v>445</v>
      </c>
      <c r="F34" s="59" t="s">
        <v>446</v>
      </c>
    </row>
    <row r="35" customFormat="false" ht="18" hidden="false" customHeight="true" outlineLevel="0" collapsed="false">
      <c r="B35" s="115" t="s">
        <v>447</v>
      </c>
      <c r="C35" s="116" t="s">
        <v>448</v>
      </c>
      <c r="D35" s="116" t="s">
        <v>449</v>
      </c>
      <c r="E35" s="116" t="s">
        <v>450</v>
      </c>
      <c r="F35" s="115" t="s">
        <v>451</v>
      </c>
    </row>
    <row r="36" customFormat="false" ht="18" hidden="false" customHeight="true" outlineLevel="0" collapsed="false">
      <c r="B36" s="59" t="s">
        <v>452</v>
      </c>
      <c r="C36" s="23" t="s">
        <v>453</v>
      </c>
      <c r="D36" s="23" t="s">
        <v>453</v>
      </c>
      <c r="E36" s="23" t="s">
        <v>445</v>
      </c>
      <c r="F36" s="59" t="s">
        <v>454</v>
      </c>
    </row>
    <row r="37" customFormat="false" ht="18" hidden="false" customHeight="true" outlineLevel="0" collapsed="false">
      <c r="B37" s="117" t="s">
        <v>455</v>
      </c>
      <c r="C37" s="118" t="s">
        <v>444</v>
      </c>
      <c r="D37" s="118" t="s">
        <v>443</v>
      </c>
      <c r="E37" s="118" t="s">
        <v>456</v>
      </c>
      <c r="F37" s="117" t="s">
        <v>457</v>
      </c>
    </row>
    <row r="38" customFormat="false" ht="18" hidden="false" customHeight="true" outlineLevel="0" collapsed="false">
      <c r="B38" s="115" t="s">
        <v>458</v>
      </c>
      <c r="C38" s="116" t="s">
        <v>459</v>
      </c>
      <c r="D38" s="116" t="s">
        <v>443</v>
      </c>
      <c r="E38" s="116" t="s">
        <v>460</v>
      </c>
      <c r="F38" s="115" t="s">
        <v>461</v>
      </c>
    </row>
    <row r="39" customFormat="false" ht="18" hidden="false" customHeight="true" outlineLevel="0" collapsed="false">
      <c r="B39" s="117" t="s">
        <v>462</v>
      </c>
      <c r="C39" s="118" t="s">
        <v>463</v>
      </c>
      <c r="D39" s="118" t="s">
        <v>464</v>
      </c>
      <c r="E39" s="118" t="s">
        <v>456</v>
      </c>
      <c r="F39" s="117" t="s">
        <v>465</v>
      </c>
    </row>
  </sheetData>
  <mergeCells count="4">
    <mergeCell ref="B1:I1"/>
    <mergeCell ref="B2:H2"/>
    <mergeCell ref="I2:J2"/>
    <mergeCell ref="B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80"/>
    <pageSetUpPr fitToPage="false"/>
  </sheetPr>
  <dimension ref="B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8" min="7" style="0" width="16"/>
    <col collapsed="false" customWidth="true" hidden="false" outlineLevel="0" max="9" min="9" style="0" width="20"/>
  </cols>
  <sheetData>
    <row r="1" customFormat="false" ht="36" hidden="false" customHeight="true" outlineLevel="0" collapsed="false">
      <c r="B1" s="119" t="s">
        <v>466</v>
      </c>
      <c r="C1" s="119"/>
      <c r="D1" s="119"/>
      <c r="E1" s="119"/>
      <c r="F1" s="119"/>
      <c r="G1" s="119"/>
      <c r="H1" s="119"/>
      <c r="I1" s="119"/>
    </row>
    <row r="2" customFormat="false" ht="15" hidden="false" customHeight="false" outlineLevel="0" collapsed="false">
      <c r="B2" s="16" t="s">
        <v>467</v>
      </c>
      <c r="C2" s="16"/>
      <c r="D2" s="16"/>
      <c r="E2" s="16"/>
      <c r="F2" s="16"/>
      <c r="G2" s="16"/>
      <c r="H2" s="16"/>
      <c r="I2" s="16"/>
    </row>
    <row r="3" customFormat="false" ht="15" hidden="false" customHeight="false" outlineLevel="0" collapsed="false">
      <c r="B3" s="120" t="s">
        <v>60</v>
      </c>
      <c r="C3" s="120" t="s">
        <v>128</v>
      </c>
      <c r="D3" s="120" t="s">
        <v>14</v>
      </c>
      <c r="E3" s="120" t="s">
        <v>468</v>
      </c>
      <c r="F3" s="120" t="s">
        <v>469</v>
      </c>
      <c r="G3" s="120" t="s">
        <v>470</v>
      </c>
      <c r="H3" s="120" t="s">
        <v>471</v>
      </c>
      <c r="I3" s="120" t="s">
        <v>472</v>
      </c>
    </row>
    <row r="4" customFormat="false" ht="19.5" hidden="false" customHeight="true" outlineLevel="0" collapsed="false">
      <c r="B4" s="121" t="s">
        <v>473</v>
      </c>
      <c r="C4" s="122" t="s">
        <v>474</v>
      </c>
      <c r="D4" s="122" t="s">
        <v>475</v>
      </c>
      <c r="E4" s="122" t="s">
        <v>476</v>
      </c>
      <c r="F4" s="121" t="s">
        <v>477</v>
      </c>
      <c r="G4" s="23" t="s">
        <v>478</v>
      </c>
      <c r="H4" s="122"/>
      <c r="I4" s="121"/>
    </row>
    <row r="5" customFormat="false" ht="19.5" hidden="false" customHeight="true" outlineLevel="0" collapsed="false">
      <c r="B5" s="47" t="s">
        <v>479</v>
      </c>
      <c r="C5" s="28" t="s">
        <v>241</v>
      </c>
      <c r="D5" s="28" t="s">
        <v>480</v>
      </c>
      <c r="E5" s="28" t="s">
        <v>481</v>
      </c>
      <c r="F5" s="47" t="s">
        <v>482</v>
      </c>
      <c r="G5" s="23" t="s">
        <v>478</v>
      </c>
      <c r="H5" s="28"/>
      <c r="I5" s="47"/>
    </row>
    <row r="6" customFormat="false" ht="19.5" hidden="false" customHeight="true" outlineLevel="0" collapsed="false">
      <c r="B6" s="121" t="s">
        <v>483</v>
      </c>
      <c r="C6" s="122" t="s">
        <v>149</v>
      </c>
      <c r="D6" s="122" t="s">
        <v>484</v>
      </c>
      <c r="E6" s="122" t="s">
        <v>485</v>
      </c>
      <c r="F6" s="121" t="s">
        <v>486</v>
      </c>
      <c r="G6" s="118" t="s">
        <v>487</v>
      </c>
      <c r="H6" s="122"/>
      <c r="I6" s="121"/>
    </row>
    <row r="7" customFormat="false" ht="19.5" hidden="false" customHeight="true" outlineLevel="0" collapsed="false">
      <c r="B7" s="47" t="s">
        <v>488</v>
      </c>
      <c r="C7" s="28" t="s">
        <v>241</v>
      </c>
      <c r="D7" s="28" t="s">
        <v>205</v>
      </c>
      <c r="E7" s="28" t="s">
        <v>489</v>
      </c>
      <c r="F7" s="47" t="s">
        <v>490</v>
      </c>
      <c r="G7" s="118" t="s">
        <v>487</v>
      </c>
      <c r="H7" s="28"/>
      <c r="I7" s="47"/>
    </row>
    <row r="8" customFormat="false" ht="19.5" hidden="false" customHeight="true" outlineLevel="0" collapsed="false">
      <c r="B8" s="121" t="s">
        <v>491</v>
      </c>
      <c r="C8" s="122" t="s">
        <v>492</v>
      </c>
      <c r="D8" s="122" t="s">
        <v>493</v>
      </c>
      <c r="E8" s="122" t="s">
        <v>494</v>
      </c>
      <c r="F8" s="121" t="s">
        <v>495</v>
      </c>
      <c r="G8" s="23" t="s">
        <v>478</v>
      </c>
      <c r="H8" s="122"/>
      <c r="I8" s="121"/>
    </row>
    <row r="9" customFormat="false" ht="19.5" hidden="false" customHeight="true" outlineLevel="0" collapsed="false">
      <c r="B9" s="47" t="s">
        <v>496</v>
      </c>
      <c r="C9" s="28" t="s">
        <v>497</v>
      </c>
      <c r="D9" s="28" t="s">
        <v>196</v>
      </c>
      <c r="E9" s="28" t="s">
        <v>498</v>
      </c>
      <c r="F9" s="47" t="s">
        <v>499</v>
      </c>
      <c r="G9" s="123" t="s">
        <v>500</v>
      </c>
      <c r="H9" s="28"/>
      <c r="I9" s="47"/>
    </row>
    <row r="10" customFormat="false" ht="19.5" hidden="false" customHeight="true" outlineLevel="0" collapsed="false">
      <c r="B10" s="121" t="s">
        <v>501</v>
      </c>
      <c r="C10" s="122" t="s">
        <v>156</v>
      </c>
      <c r="D10" s="122" t="s">
        <v>221</v>
      </c>
      <c r="E10" s="122" t="s">
        <v>502</v>
      </c>
      <c r="F10" s="121" t="s">
        <v>503</v>
      </c>
      <c r="G10" s="118" t="s">
        <v>487</v>
      </c>
      <c r="H10" s="122"/>
      <c r="I10" s="121"/>
    </row>
    <row r="11" customFormat="false" ht="19.5" hidden="false" customHeight="true" outlineLevel="0" collapsed="false">
      <c r="B11" s="47" t="s">
        <v>504</v>
      </c>
      <c r="C11" s="28" t="s">
        <v>229</v>
      </c>
      <c r="D11" s="28" t="s">
        <v>505</v>
      </c>
      <c r="E11" s="28" t="s">
        <v>506</v>
      </c>
      <c r="F11" s="47" t="s">
        <v>507</v>
      </c>
      <c r="G11" s="123" t="s">
        <v>500</v>
      </c>
      <c r="H11" s="28"/>
      <c r="I11" s="47"/>
    </row>
    <row r="14" customFormat="false" ht="15" hidden="false" customHeight="false" outlineLevel="0" collapsed="false">
      <c r="B14" s="16" t="s">
        <v>508</v>
      </c>
      <c r="C14" s="16"/>
      <c r="D14" s="16"/>
      <c r="E14" s="16"/>
      <c r="F14" s="16"/>
      <c r="G14" s="16"/>
      <c r="H14" s="16"/>
      <c r="I14" s="16"/>
    </row>
    <row r="15" customFormat="false" ht="18" hidden="false" customHeight="true" outlineLevel="0" collapsed="false">
      <c r="B15" s="124" t="s">
        <v>509</v>
      </c>
      <c r="C15" s="124"/>
      <c r="D15" s="124"/>
      <c r="E15" s="124"/>
      <c r="F15" s="124"/>
      <c r="G15" s="124"/>
      <c r="H15" s="124"/>
      <c r="I15" s="124"/>
    </row>
    <row r="16" customFormat="false" ht="18" hidden="false" customHeight="true" outlineLevel="0" collapsed="false">
      <c r="B16" s="125" t="s">
        <v>510</v>
      </c>
      <c r="C16" s="125"/>
      <c r="D16" s="125"/>
      <c r="E16" s="125"/>
      <c r="F16" s="125"/>
      <c r="G16" s="125"/>
      <c r="H16" s="125"/>
      <c r="I16" s="125"/>
    </row>
    <row r="17" customFormat="false" ht="18" hidden="false" customHeight="true" outlineLevel="0" collapsed="false">
      <c r="B17" s="124" t="s">
        <v>511</v>
      </c>
      <c r="C17" s="124"/>
      <c r="D17" s="124"/>
      <c r="E17" s="124"/>
      <c r="F17" s="124"/>
      <c r="G17" s="124"/>
      <c r="H17" s="124"/>
      <c r="I17" s="124"/>
    </row>
    <row r="18" customFormat="false" ht="18" hidden="false" customHeight="true" outlineLevel="0" collapsed="false">
      <c r="B18" s="125" t="s">
        <v>512</v>
      </c>
      <c r="C18" s="125"/>
      <c r="D18" s="125"/>
      <c r="E18" s="125"/>
      <c r="F18" s="125"/>
      <c r="G18" s="125"/>
      <c r="H18" s="125"/>
      <c r="I18" s="125"/>
    </row>
    <row r="19" customFormat="false" ht="18" hidden="false" customHeight="true" outlineLevel="0" collapsed="false">
      <c r="B19" s="124" t="s">
        <v>513</v>
      </c>
      <c r="C19" s="124"/>
      <c r="D19" s="124"/>
      <c r="E19" s="124"/>
      <c r="F19" s="124"/>
      <c r="G19" s="124"/>
      <c r="H19" s="124"/>
      <c r="I19" s="124"/>
    </row>
    <row r="20" customFormat="false" ht="18" hidden="false" customHeight="true" outlineLevel="0" collapsed="false">
      <c r="B20" s="125" t="s">
        <v>514</v>
      </c>
      <c r="C20" s="125"/>
      <c r="D20" s="125"/>
      <c r="E20" s="125"/>
      <c r="F20" s="125"/>
      <c r="G20" s="125"/>
      <c r="H20" s="125"/>
      <c r="I20" s="125"/>
    </row>
    <row r="21" customFormat="false" ht="18" hidden="false" customHeight="true" outlineLevel="0" collapsed="false">
      <c r="B21" s="124" t="s">
        <v>515</v>
      </c>
      <c r="C21" s="124"/>
      <c r="D21" s="124"/>
      <c r="E21" s="124"/>
      <c r="F21" s="124"/>
      <c r="G21" s="124"/>
      <c r="H21" s="124"/>
      <c r="I21" s="124"/>
    </row>
    <row r="22" customFormat="false" ht="18" hidden="false" customHeight="true" outlineLevel="0" collapsed="false">
      <c r="B22" s="125" t="s">
        <v>516</v>
      </c>
      <c r="C22" s="125"/>
      <c r="D22" s="125"/>
      <c r="E22" s="125"/>
      <c r="F22" s="125"/>
      <c r="G22" s="125"/>
      <c r="H22" s="125"/>
      <c r="I22" s="125"/>
    </row>
    <row r="23" customFormat="false" ht="18" hidden="false" customHeight="true" outlineLevel="0" collapsed="false">
      <c r="B23" s="124" t="s">
        <v>517</v>
      </c>
      <c r="C23" s="124"/>
      <c r="D23" s="124"/>
      <c r="E23" s="124"/>
      <c r="F23" s="124"/>
      <c r="G23" s="124"/>
      <c r="H23" s="124"/>
      <c r="I23" s="124"/>
    </row>
    <row r="24" customFormat="false" ht="18" hidden="false" customHeight="true" outlineLevel="0" collapsed="false">
      <c r="B24" s="125" t="s">
        <v>518</v>
      </c>
      <c r="C24" s="125"/>
      <c r="D24" s="125"/>
      <c r="E24" s="125"/>
      <c r="F24" s="125"/>
      <c r="G24" s="125"/>
      <c r="H24" s="125"/>
      <c r="I24" s="125"/>
    </row>
    <row r="26" customFormat="false" ht="15" hidden="false" customHeight="false" outlineLevel="0" collapsed="false">
      <c r="B26" s="16" t="s">
        <v>519</v>
      </c>
      <c r="C26" s="16"/>
      <c r="D26" s="16"/>
      <c r="E26" s="16"/>
      <c r="F26" s="16"/>
      <c r="G26" s="16"/>
      <c r="H26" s="16"/>
      <c r="I26" s="16"/>
    </row>
    <row r="27" customFormat="false" ht="15" hidden="false" customHeight="false" outlineLevel="0" collapsed="false">
      <c r="B27" s="120" t="s">
        <v>520</v>
      </c>
      <c r="C27" s="120" t="s">
        <v>11</v>
      </c>
      <c r="D27" s="120" t="s">
        <v>521</v>
      </c>
      <c r="E27" s="120" t="s">
        <v>522</v>
      </c>
      <c r="F27" s="120" t="s">
        <v>12</v>
      </c>
      <c r="G27" s="120" t="s">
        <v>135</v>
      </c>
      <c r="H27" s="120" t="s">
        <v>523</v>
      </c>
      <c r="I27" s="120" t="s">
        <v>524</v>
      </c>
    </row>
    <row r="28" customFormat="false" ht="18" hidden="false" customHeight="true" outlineLevel="0" collapsed="false">
      <c r="B28" s="126"/>
      <c r="C28" s="126"/>
      <c r="D28" s="126"/>
      <c r="E28" s="126"/>
      <c r="F28" s="126"/>
      <c r="G28" s="127" t="str">
        <f aca="false">IF(D28=0,"",ROUND((D28-C28)*E28,2))</f>
        <v/>
      </c>
      <c r="H28" s="128" t="str">
        <f aca="false">IF(C28=0,"",ROUND((D28-C28)/C28*100,2))</f>
        <v/>
      </c>
      <c r="I28" s="126"/>
    </row>
    <row r="29" customFormat="false" ht="18" hidden="false" customHeight="true" outlineLevel="0" collapsed="false">
      <c r="B29" s="129"/>
      <c r="C29" s="129"/>
      <c r="D29" s="129"/>
      <c r="E29" s="129"/>
      <c r="F29" s="129"/>
      <c r="G29" s="27" t="str">
        <f aca="false">IF(D29=0,"",ROUND((D29-C29)*E29,2))</f>
        <v/>
      </c>
      <c r="H29" s="50" t="str">
        <f aca="false">IF(C29=0,"",ROUND((D29-C29)/C29*100,2))</f>
        <v/>
      </c>
      <c r="I29" s="129"/>
    </row>
    <row r="30" customFormat="false" ht="18" hidden="false" customHeight="true" outlineLevel="0" collapsed="false">
      <c r="B30" s="126"/>
      <c r="C30" s="126"/>
      <c r="D30" s="126"/>
      <c r="E30" s="126"/>
      <c r="F30" s="126"/>
      <c r="G30" s="127" t="str">
        <f aca="false">IF(D30=0,"",ROUND((D30-C30)*E30,2))</f>
        <v/>
      </c>
      <c r="H30" s="128" t="str">
        <f aca="false">IF(C30=0,"",ROUND((D30-C30)/C30*100,2))</f>
        <v/>
      </c>
      <c r="I30" s="126"/>
    </row>
    <row r="31" customFormat="false" ht="18" hidden="false" customHeight="true" outlineLevel="0" collapsed="false">
      <c r="B31" s="129"/>
      <c r="C31" s="129"/>
      <c r="D31" s="129"/>
      <c r="E31" s="129"/>
      <c r="F31" s="129"/>
      <c r="G31" s="27" t="str">
        <f aca="false">IF(D31=0,"",ROUND((D31-C31)*E31,2))</f>
        <v/>
      </c>
      <c r="H31" s="50" t="str">
        <f aca="false">IF(C31=0,"",ROUND((D31-C31)/C31*100,2))</f>
        <v/>
      </c>
      <c r="I31" s="129"/>
    </row>
    <row r="32" customFormat="false" ht="18" hidden="false" customHeight="true" outlineLevel="0" collapsed="false">
      <c r="B32" s="126"/>
      <c r="C32" s="126"/>
      <c r="D32" s="126"/>
      <c r="E32" s="126"/>
      <c r="F32" s="126"/>
      <c r="G32" s="127" t="str">
        <f aca="false">IF(D32=0,"",ROUND((D32-C32)*E32,2))</f>
        <v/>
      </c>
      <c r="H32" s="128" t="str">
        <f aca="false">IF(C32=0,"",ROUND((D32-C32)/C32*100,2))</f>
        <v/>
      </c>
      <c r="I32" s="126"/>
    </row>
    <row r="33" customFormat="false" ht="18" hidden="false" customHeight="true" outlineLevel="0" collapsed="false">
      <c r="B33" s="129"/>
      <c r="C33" s="129"/>
      <c r="D33" s="129"/>
      <c r="E33" s="129"/>
      <c r="F33" s="129"/>
      <c r="G33" s="27" t="str">
        <f aca="false">IF(D33=0,"",ROUND((D33-C33)*E33,2))</f>
        <v/>
      </c>
      <c r="H33" s="50" t="str">
        <f aca="false">IF(C33=0,"",ROUND((D33-C33)/C33*100,2))</f>
        <v/>
      </c>
      <c r="I33" s="129"/>
    </row>
    <row r="34" customFormat="false" ht="18" hidden="false" customHeight="true" outlineLevel="0" collapsed="false">
      <c r="B34" s="126"/>
      <c r="C34" s="126"/>
      <c r="D34" s="126"/>
      <c r="E34" s="126"/>
      <c r="F34" s="126"/>
      <c r="G34" s="127" t="str">
        <f aca="false">IF(D34=0,"",ROUND((D34-C34)*E34,2))</f>
        <v/>
      </c>
      <c r="H34" s="128" t="str">
        <f aca="false">IF(C34=0,"",ROUND((D34-C34)/C34*100,2))</f>
        <v/>
      </c>
      <c r="I34" s="126"/>
    </row>
    <row r="35" customFormat="false" ht="18" hidden="false" customHeight="true" outlineLevel="0" collapsed="false">
      <c r="B35" s="129"/>
      <c r="C35" s="129"/>
      <c r="D35" s="129"/>
      <c r="E35" s="129"/>
      <c r="F35" s="129"/>
      <c r="G35" s="27" t="str">
        <f aca="false">IF(D35=0,"",ROUND((D35-C35)*E35,2))</f>
        <v/>
      </c>
      <c r="H35" s="50" t="str">
        <f aca="false">IF(C35=0,"",ROUND((D35-C35)/C35*100,2))</f>
        <v/>
      </c>
      <c r="I35" s="129"/>
    </row>
    <row r="36" customFormat="false" ht="18" hidden="false" customHeight="true" outlineLevel="0" collapsed="false">
      <c r="B36" s="126"/>
      <c r="C36" s="126"/>
      <c r="D36" s="126"/>
      <c r="E36" s="126"/>
      <c r="F36" s="126"/>
      <c r="G36" s="127" t="str">
        <f aca="false">IF(D36=0,"",ROUND((D36-C36)*E36,2))</f>
        <v/>
      </c>
      <c r="H36" s="128" t="str">
        <f aca="false">IF(C36=0,"",ROUND((D36-C36)/C36*100,2))</f>
        <v/>
      </c>
      <c r="I36" s="126"/>
    </row>
    <row r="37" customFormat="false" ht="18" hidden="false" customHeight="true" outlineLevel="0" collapsed="false">
      <c r="B37" s="129"/>
      <c r="C37" s="129"/>
      <c r="D37" s="129"/>
      <c r="E37" s="129"/>
      <c r="F37" s="129"/>
      <c r="G37" s="27" t="str">
        <f aca="false">IF(D37=0,"",ROUND((D37-C37)*E37,2))</f>
        <v/>
      </c>
      <c r="H37" s="50" t="str">
        <f aca="false">IF(C37=0,"",ROUND((D37-C37)/C37*100,2))</f>
        <v/>
      </c>
      <c r="I37" s="129"/>
    </row>
  </sheetData>
  <mergeCells count="14">
    <mergeCell ref="B1:I1"/>
    <mergeCell ref="B2:I2"/>
    <mergeCell ref="B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2026-04-18T01:40:48Z</dcterms:created>
  <dc:creator>openpyxl</dc:creator>
  <dc:description/>
  <dc:language>en-US</dc:language>
  <cp:lastModifiedBy/>
  <dcterms:modified xsi:type="dcterms:W3CDTF">2026-04-18T01:40:53Z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